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Base de Datos" sheetId="1" state="visible" r:id="rId1"/>
    <sheet xmlns:r="http://schemas.openxmlformats.org/officeDocument/2006/relationships" name="Orden_Valor" sheetId="2" state="visible" r:id="rId2"/>
    <sheet xmlns:r="http://schemas.openxmlformats.org/officeDocument/2006/relationships" name="Orden_Cantidad" sheetId="3" state="visible" r:id="rId3"/>
    <sheet xmlns:r="http://schemas.openxmlformats.org/officeDocument/2006/relationships" name="Orden_Pais" sheetId="4" state="visible" r:id="rId4"/>
    <sheet xmlns:r="http://schemas.openxmlformats.org/officeDocument/2006/relationships" name="Orden_Producto" sheetId="5" state="visible" r:id="rId5"/>
    <sheet xmlns:r="http://schemas.openxmlformats.org/officeDocument/2006/relationships" name="Filtro_USA" sheetId="6" state="visible" r:id="rId6"/>
    <sheet xmlns:r="http://schemas.openxmlformats.org/officeDocument/2006/relationships" name="Filtro_Cafe" sheetId="7" state="visible" r:id="rId7"/>
    <sheet xmlns:r="http://schemas.openxmlformats.org/officeDocument/2006/relationships" name="Filtro_FOB" sheetId="8" state="visible" r:id="rId8"/>
    <sheet xmlns:r="http://schemas.openxmlformats.org/officeDocument/2006/relationships" name="Filtro_25000" sheetId="9" state="visible" r:id="rId9"/>
    <sheet xmlns:r="http://schemas.openxmlformats.org/officeDocument/2006/relationships" name="Filtro_Europa" sheetId="10" state="visible" r:id="rId10"/>
    <sheet xmlns:r="http://schemas.openxmlformats.org/officeDocument/2006/relationships" name="Filtro_Ana" sheetId="11" state="visible" r:id="rId11"/>
    <sheet xmlns:r="http://schemas.openxmlformats.org/officeDocument/2006/relationships" name="Resumen Ejecutivo" sheetId="12" state="visible" r:id="rId12"/>
    <sheet xmlns:r="http://schemas.openxmlformats.org/officeDocument/2006/relationships" name="Conclusiones" sheetId="13" state="visible" r:id="rId13"/>
    <sheet xmlns:r="http://schemas.openxmlformats.org/officeDocument/2006/relationships" name="Repositorio" sheetId="14" state="visible" r:id="rId14"/>
    <sheet xmlns:r="http://schemas.openxmlformats.org/officeDocument/2006/relationships" name="Informe Inteligencia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dd/mm/yyyy"/>
    <numFmt numFmtId="166" formatCode="$#,##0.00"/>
    <numFmt numFmtId="167" formatCode="C$#,##0.00"/>
    <numFmt numFmtId="168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sz val="12"/>
    </font>
    <font>
      <b val="1"/>
      <color rgb="00FFFFFF"/>
      <sz val="16"/>
    </font>
    <font>
      <b val="1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2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Exportaciones" displayName="Exportaciones" ref="A1:L21" headerRowCount="1">
  <autoFilter ref="A1:L21"/>
  <tableColumns count="12">
    <tableColumn id="1" name="ID"/>
    <tableColumn id="2" name="Fecha"/>
    <tableColumn id="3" name="Producto"/>
    <tableColumn id="4" name="Categoría"/>
    <tableColumn id="5" name="País destino"/>
    <tableColumn id="6" name="Cliente internacional"/>
    <tableColumn id="7" name="Cantidad kg"/>
    <tableColumn id="8" name="Precio US$/kg"/>
    <tableColumn id="9" name="Incoterm"/>
    <tableColumn id="10" name="Ejecutivo"/>
    <tableColumn id="11" name="Valor exportación US$"/>
    <tableColumn id="12" name="Valor exportación C$"/>
  </tableColumns>
  <tableStyleInfo name="TableStyleMedium2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4.4"/>
  <cols>
    <col width="12" customWidth="1" min="1" max="1"/>
    <col width="13" bestFit="1" customWidth="1" min="2" max="2"/>
    <col width="22" bestFit="1" customWidth="1" min="3" max="3"/>
    <col width="18" customWidth="1" min="4" max="4"/>
    <col width="20" customWidth="1" min="5" max="5"/>
    <col width="28" customWidth="1" min="6" max="6"/>
    <col width="14" customWidth="1" min="7" max="7"/>
    <col width="16" bestFit="1" customWidth="1" min="8" max="8"/>
    <col width="12" bestFit="1" customWidth="1" min="9" max="9"/>
    <col width="14" bestFit="1" customWidth="1" min="10" max="11"/>
    <col width="22" customWidth="1" min="11" max="11"/>
    <col width="22" customWidth="1" min="12" max="12"/>
  </cols>
  <sheetData>
    <row r="1">
      <c r="A1" s="4" t="inlineStr">
        <is>
          <t>ID</t>
        </is>
      </c>
      <c r="B1" s="4" t="inlineStr">
        <is>
          <t>Fecha</t>
        </is>
      </c>
      <c r="C1" s="4" t="inlineStr">
        <is>
          <t>Producto</t>
        </is>
      </c>
      <c r="D1" s="4" t="inlineStr">
        <is>
          <t>Categoría</t>
        </is>
      </c>
      <c r="E1" s="4" t="inlineStr">
        <is>
          <t>País destino</t>
        </is>
      </c>
      <c r="F1" s="4" t="inlineStr">
        <is>
          <t>Cliente internacional</t>
        </is>
      </c>
      <c r="G1" s="4" t="inlineStr">
        <is>
          <t>Cantidad kg</t>
        </is>
      </c>
      <c r="H1" s="4" t="inlineStr">
        <is>
          <t>Precio US$/kg</t>
        </is>
      </c>
      <c r="I1" s="4" t="inlineStr">
        <is>
          <t>Incoterm</t>
        </is>
      </c>
      <c r="J1" s="4" t="inlineStr">
        <is>
          <t>Ejecutivo</t>
        </is>
      </c>
      <c r="K1" s="4" t="inlineStr">
        <is>
          <t>Valor exportación US$</t>
        </is>
      </c>
      <c r="L1" s="4" t="inlineStr">
        <is>
          <t>Valor exportación C$</t>
        </is>
      </c>
    </row>
    <row r="2">
      <c r="A2" t="inlineStr">
        <is>
          <t>EXP001</t>
        </is>
      </c>
      <c r="B2" s="5" t="n">
        <v>46208</v>
      </c>
      <c r="C2" t="inlineStr">
        <is>
          <t>Café oro</t>
        </is>
      </c>
      <c r="D2" t="inlineStr">
        <is>
          <t>Café</t>
        </is>
      </c>
      <c r="E2" t="inlineStr">
        <is>
          <t>Estados Unidos</t>
        </is>
      </c>
      <c r="F2" t="inlineStr">
        <is>
          <t>Global Coffee Traders</t>
        </is>
      </c>
      <c r="G2" s="1" t="n">
        <v>5000</v>
      </c>
      <c r="H2" s="6" t="n">
        <v>6.2</v>
      </c>
      <c r="I2" t="inlineStr">
        <is>
          <t>FOB</t>
        </is>
      </c>
      <c r="J2" t="inlineStr">
        <is>
          <t>Ana</t>
        </is>
      </c>
      <c r="K2" s="6">
        <f>G2*H2</f>
        <v/>
      </c>
      <c r="L2" s="7">
        <f>K2*37</f>
        <v/>
      </c>
    </row>
    <row r="3">
      <c r="A3" t="inlineStr">
        <is>
          <t>EXP002</t>
        </is>
      </c>
      <c r="B3" s="5" t="n">
        <v>46211</v>
      </c>
      <c r="C3" t="inlineStr">
        <is>
          <t>Cacao en grano</t>
        </is>
      </c>
      <c r="D3" t="inlineStr">
        <is>
          <t>Cacao</t>
        </is>
      </c>
      <c r="E3" t="inlineStr">
        <is>
          <t>Alemania</t>
        </is>
      </c>
      <c r="F3" t="inlineStr">
        <is>
          <t>Euro Cocoa GmbH</t>
        </is>
      </c>
      <c r="G3" s="1" t="n">
        <v>3500</v>
      </c>
      <c r="H3" s="6" t="n">
        <v>4.8</v>
      </c>
      <c r="I3" t="inlineStr">
        <is>
          <t>FOB</t>
        </is>
      </c>
      <c r="J3" t="inlineStr">
        <is>
          <t>Carlos</t>
        </is>
      </c>
      <c r="K3" s="6">
        <f>G3*H3</f>
        <v/>
      </c>
      <c r="L3" s="7">
        <f>K3*37</f>
        <v/>
      </c>
    </row>
    <row r="4">
      <c r="A4" t="inlineStr">
        <is>
          <t>EXP003</t>
        </is>
      </c>
      <c r="B4" s="5" t="n">
        <v>46215</v>
      </c>
      <c r="C4" t="inlineStr">
        <is>
          <t>Maní</t>
        </is>
      </c>
      <c r="D4" t="inlineStr">
        <is>
          <t>Granos</t>
        </is>
      </c>
      <c r="E4" t="inlineStr">
        <is>
          <t>México</t>
        </is>
      </c>
      <c r="F4" t="inlineStr">
        <is>
          <t>Comercializadora Azteca</t>
        </is>
      </c>
      <c r="G4" s="1" t="n">
        <v>8000</v>
      </c>
      <c r="H4" s="6" t="n">
        <v>1.65</v>
      </c>
      <c r="I4" t="inlineStr">
        <is>
          <t>CIF</t>
        </is>
      </c>
      <c r="J4" t="inlineStr">
        <is>
          <t>María</t>
        </is>
      </c>
      <c r="K4" s="6">
        <f>G4*H4</f>
        <v/>
      </c>
      <c r="L4" s="7">
        <f>K4*37</f>
        <v/>
      </c>
    </row>
    <row r="5">
      <c r="A5" t="inlineStr">
        <is>
          <t>EXP004</t>
        </is>
      </c>
      <c r="B5" s="5" t="n">
        <v>46218</v>
      </c>
      <c r="C5" t="inlineStr">
        <is>
          <t>Tabaco</t>
        </is>
      </c>
      <c r="D5" t="inlineStr">
        <is>
          <t>Manufactura</t>
        </is>
      </c>
      <c r="E5" t="inlineStr">
        <is>
          <t>Estados Unidos</t>
        </is>
      </c>
      <c r="F5" t="inlineStr">
        <is>
          <t>Premium Tobacco Inc.</t>
        </is>
      </c>
      <c r="G5" s="1" t="n">
        <v>2000</v>
      </c>
      <c r="H5" s="6" t="n">
        <v>9.5</v>
      </c>
      <c r="I5" t="inlineStr">
        <is>
          <t>FOB</t>
        </is>
      </c>
      <c r="J5" t="inlineStr">
        <is>
          <t>Ana</t>
        </is>
      </c>
      <c r="K5" s="6">
        <f>G5*H5</f>
        <v/>
      </c>
      <c r="L5" s="7">
        <f>K5*37</f>
        <v/>
      </c>
    </row>
    <row r="6">
      <c r="A6" t="inlineStr">
        <is>
          <t>EXP005</t>
        </is>
      </c>
      <c r="B6" s="5" t="n">
        <v>46222</v>
      </c>
      <c r="C6" t="inlineStr">
        <is>
          <t>Azúcar</t>
        </is>
      </c>
      <c r="D6" t="inlineStr">
        <is>
          <t>Agroindustria</t>
        </is>
      </c>
      <c r="E6" t="inlineStr">
        <is>
          <t>Guatemala</t>
        </is>
      </c>
      <c r="F6" t="inlineStr">
        <is>
          <t>Central Foods</t>
        </is>
      </c>
      <c r="G6" s="1" t="n">
        <v>12000</v>
      </c>
      <c r="H6" s="6" t="n">
        <v>0.85</v>
      </c>
      <c r="I6" t="inlineStr">
        <is>
          <t>CIF</t>
        </is>
      </c>
      <c r="J6" t="inlineStr">
        <is>
          <t>Carlos</t>
        </is>
      </c>
      <c r="K6" s="6">
        <f>G6*H6</f>
        <v/>
      </c>
      <c r="L6" s="7">
        <f>K6*37</f>
        <v/>
      </c>
    </row>
    <row r="7">
      <c r="A7" t="inlineStr">
        <is>
          <t>EXP006</t>
        </is>
      </c>
      <c r="B7" s="5" t="n">
        <v>46226</v>
      </c>
      <c r="C7" t="inlineStr">
        <is>
          <t>Camarón</t>
        </is>
      </c>
      <c r="D7" t="inlineStr">
        <is>
          <t>Pesca</t>
        </is>
      </c>
      <c r="E7" t="inlineStr">
        <is>
          <t>España</t>
        </is>
      </c>
      <c r="F7" t="inlineStr">
        <is>
          <t>Iberia Seafood</t>
        </is>
      </c>
      <c r="G7" s="1" t="n">
        <v>4500</v>
      </c>
      <c r="H7" s="6" t="n">
        <v>7.2</v>
      </c>
      <c r="I7" t="inlineStr">
        <is>
          <t>CIF</t>
        </is>
      </c>
      <c r="J7" t="inlineStr">
        <is>
          <t>María</t>
        </is>
      </c>
      <c r="K7" s="6">
        <f>G7*H7</f>
        <v/>
      </c>
      <c r="L7" s="7">
        <f>K7*37</f>
        <v/>
      </c>
    </row>
    <row r="8">
      <c r="A8" t="inlineStr">
        <is>
          <t>EXP007</t>
        </is>
      </c>
      <c r="B8" s="5" t="n">
        <v>46230</v>
      </c>
      <c r="C8" t="inlineStr">
        <is>
          <t>Café oro</t>
        </is>
      </c>
      <c r="D8" t="inlineStr">
        <is>
          <t>Café</t>
        </is>
      </c>
      <c r="E8" t="inlineStr">
        <is>
          <t>Bélgica</t>
        </is>
      </c>
      <c r="F8" t="inlineStr">
        <is>
          <t>Belgian Coffee House</t>
        </is>
      </c>
      <c r="G8" s="1" t="n">
        <v>6000</v>
      </c>
      <c r="H8" s="6" t="n">
        <v>6.4</v>
      </c>
      <c r="I8" t="inlineStr">
        <is>
          <t>FOB</t>
        </is>
      </c>
      <c r="J8" t="inlineStr">
        <is>
          <t>Ana</t>
        </is>
      </c>
      <c r="K8" s="6">
        <f>G8*H8</f>
        <v/>
      </c>
      <c r="L8" s="7">
        <f>K8*37</f>
        <v/>
      </c>
    </row>
    <row r="9">
      <c r="A9" t="inlineStr">
        <is>
          <t>EXP008</t>
        </is>
      </c>
      <c r="B9" s="5" t="n">
        <v>46236</v>
      </c>
      <c r="C9" t="inlineStr">
        <is>
          <t>Carne bovina</t>
        </is>
      </c>
      <c r="D9" t="inlineStr">
        <is>
          <t>Cárnicos</t>
        </is>
      </c>
      <c r="E9" t="inlineStr">
        <is>
          <t>Estados Unidos</t>
        </is>
      </c>
      <c r="F9" t="inlineStr">
        <is>
          <t>American Meat Corp.</t>
        </is>
      </c>
      <c r="G9" s="1" t="n">
        <v>10000</v>
      </c>
      <c r="H9" s="6" t="n">
        <v>5.1</v>
      </c>
      <c r="I9" t="inlineStr">
        <is>
          <t>CIF</t>
        </is>
      </c>
      <c r="J9" t="inlineStr">
        <is>
          <t>Carlos</t>
        </is>
      </c>
      <c r="K9" s="6">
        <f>G9*H9</f>
        <v/>
      </c>
      <c r="L9" s="7">
        <f>K9*37</f>
        <v/>
      </c>
    </row>
    <row r="10">
      <c r="A10" t="inlineStr">
        <is>
          <t>EXP009</t>
        </is>
      </c>
      <c r="B10" s="5" t="n">
        <v>46240</v>
      </c>
      <c r="C10" t="inlineStr">
        <is>
          <t>Ajonjolí</t>
        </is>
      </c>
      <c r="D10" t="inlineStr">
        <is>
          <t>Granos</t>
        </is>
      </c>
      <c r="E10" t="inlineStr">
        <is>
          <t>Japón</t>
        </is>
      </c>
      <c r="F10" t="inlineStr">
        <is>
          <t>Nippon Foods</t>
        </is>
      </c>
      <c r="G10" s="1" t="n">
        <v>4000</v>
      </c>
      <c r="H10" s="6" t="n">
        <v>2.9</v>
      </c>
      <c r="I10" t="inlineStr">
        <is>
          <t>FOB</t>
        </is>
      </c>
      <c r="J10" t="inlineStr">
        <is>
          <t>María</t>
        </is>
      </c>
      <c r="K10" s="6">
        <f>G10*H10</f>
        <v/>
      </c>
      <c r="L10" s="7">
        <f>K10*37</f>
        <v/>
      </c>
    </row>
    <row r="11">
      <c r="A11" t="inlineStr">
        <is>
          <t>EXP010</t>
        </is>
      </c>
      <c r="B11" s="5" t="n">
        <v>46244</v>
      </c>
      <c r="C11" t="inlineStr">
        <is>
          <t>Cacao en grano</t>
        </is>
      </c>
      <c r="D11" t="inlineStr">
        <is>
          <t>Cacao</t>
        </is>
      </c>
      <c r="E11" t="inlineStr">
        <is>
          <t>Países Bajos</t>
        </is>
      </c>
      <c r="F11" t="inlineStr">
        <is>
          <t>Dutch Cocoa Trading</t>
        </is>
      </c>
      <c r="G11" s="1" t="n">
        <v>5500</v>
      </c>
      <c r="H11" s="6" t="n">
        <v>4.95</v>
      </c>
      <c r="I11" t="inlineStr">
        <is>
          <t>FOB</t>
        </is>
      </c>
      <c r="J11" t="inlineStr">
        <is>
          <t>Ana</t>
        </is>
      </c>
      <c r="K11" s="6">
        <f>G11*H11</f>
        <v/>
      </c>
      <c r="L11" s="7">
        <f>K11*37</f>
        <v/>
      </c>
    </row>
    <row r="12">
      <c r="A12" t="inlineStr">
        <is>
          <t>EXP011</t>
        </is>
      </c>
      <c r="B12" s="5" t="n">
        <v>46248</v>
      </c>
      <c r="C12" t="inlineStr">
        <is>
          <t>Maní</t>
        </is>
      </c>
      <c r="D12" t="inlineStr">
        <is>
          <t>Granos</t>
        </is>
      </c>
      <c r="E12" t="inlineStr">
        <is>
          <t>Canadá</t>
        </is>
      </c>
      <c r="F12" t="inlineStr">
        <is>
          <t>Canadian Foods Ltd.</t>
        </is>
      </c>
      <c r="G12" s="1" t="n">
        <v>7500</v>
      </c>
      <c r="H12" s="6" t="n">
        <v>1.75</v>
      </c>
      <c r="I12" t="inlineStr">
        <is>
          <t>CIF</t>
        </is>
      </c>
      <c r="J12" t="inlineStr">
        <is>
          <t>Carlos</t>
        </is>
      </c>
      <c r="K12" s="6">
        <f>G12*H12</f>
        <v/>
      </c>
      <c r="L12" s="7">
        <f>K12*37</f>
        <v/>
      </c>
    </row>
    <row r="13">
      <c r="A13" t="inlineStr">
        <is>
          <t>EXP012</t>
        </is>
      </c>
      <c r="B13" s="5" t="n">
        <v>46252</v>
      </c>
      <c r="C13" t="inlineStr">
        <is>
          <t>Tabaco</t>
        </is>
      </c>
      <c r="D13" t="inlineStr">
        <is>
          <t>Manufactura</t>
        </is>
      </c>
      <c r="E13" t="inlineStr">
        <is>
          <t>España</t>
        </is>
      </c>
      <c r="F13" t="inlineStr">
        <is>
          <t>Iberian Tobacco</t>
        </is>
      </c>
      <c r="G13" s="1" t="n">
        <v>2500</v>
      </c>
      <c r="H13" s="6" t="n">
        <v>9.199999999999999</v>
      </c>
      <c r="I13" t="inlineStr">
        <is>
          <t>FOB</t>
        </is>
      </c>
      <c r="J13" t="inlineStr">
        <is>
          <t>María</t>
        </is>
      </c>
      <c r="K13" s="6">
        <f>G13*H13</f>
        <v/>
      </c>
      <c r="L13" s="7">
        <f>K13*37</f>
        <v/>
      </c>
    </row>
    <row r="14">
      <c r="A14" t="inlineStr">
        <is>
          <t>EXP013</t>
        </is>
      </c>
      <c r="B14" s="5" t="n">
        <v>46256</v>
      </c>
      <c r="C14" t="inlineStr">
        <is>
          <t>Café oro</t>
        </is>
      </c>
      <c r="D14" t="inlineStr">
        <is>
          <t>Café</t>
        </is>
      </c>
      <c r="E14" t="inlineStr">
        <is>
          <t>Estados Unidos</t>
        </is>
      </c>
      <c r="F14" t="inlineStr">
        <is>
          <t>Global Coffee Traders</t>
        </is>
      </c>
      <c r="G14" s="1" t="n">
        <v>7000</v>
      </c>
      <c r="H14" s="6" t="n">
        <v>6.35</v>
      </c>
      <c r="I14" t="inlineStr">
        <is>
          <t>FOB</t>
        </is>
      </c>
      <c r="J14" t="inlineStr">
        <is>
          <t>Ana</t>
        </is>
      </c>
      <c r="K14" s="6">
        <f>G14*H14</f>
        <v/>
      </c>
      <c r="L14" s="7">
        <f>K14*37</f>
        <v/>
      </c>
    </row>
    <row r="15">
      <c r="A15" t="inlineStr">
        <is>
          <t>EXP014</t>
        </is>
      </c>
      <c r="B15" s="5" t="n">
        <v>46260</v>
      </c>
      <c r="C15" t="inlineStr">
        <is>
          <t>Camarón</t>
        </is>
      </c>
      <c r="D15" t="inlineStr">
        <is>
          <t>Pesca</t>
        </is>
      </c>
      <c r="E15" t="inlineStr">
        <is>
          <t>México</t>
        </is>
      </c>
      <c r="F15" t="inlineStr">
        <is>
          <t>Pacific Seafood MX</t>
        </is>
      </c>
      <c r="G15" s="1" t="n">
        <v>5000</v>
      </c>
      <c r="H15" s="6" t="n">
        <v>7</v>
      </c>
      <c r="I15" t="inlineStr">
        <is>
          <t>CIF</t>
        </is>
      </c>
      <c r="J15" t="inlineStr">
        <is>
          <t>Carlos</t>
        </is>
      </c>
      <c r="K15" s="6">
        <f>G15*H15</f>
        <v/>
      </c>
      <c r="L15" s="7">
        <f>K15*37</f>
        <v/>
      </c>
    </row>
    <row r="16">
      <c r="A16" t="inlineStr">
        <is>
          <t>EXP015</t>
        </is>
      </c>
      <c r="B16" s="5" t="n">
        <v>46264</v>
      </c>
      <c r="C16" t="inlineStr">
        <is>
          <t>Azúcar</t>
        </is>
      </c>
      <c r="D16" t="inlineStr">
        <is>
          <t>Agroindustria</t>
        </is>
      </c>
      <c r="E16" t="inlineStr">
        <is>
          <t>Honduras</t>
        </is>
      </c>
      <c r="F16" t="inlineStr">
        <is>
          <t>Honduran Foods</t>
        </is>
      </c>
      <c r="G16" s="1" t="n">
        <v>15000</v>
      </c>
      <c r="H16" s="6" t="n">
        <v>0.82</v>
      </c>
      <c r="I16" t="inlineStr">
        <is>
          <t>CIF</t>
        </is>
      </c>
      <c r="J16" t="inlineStr">
        <is>
          <t>María</t>
        </is>
      </c>
      <c r="K16" s="6">
        <f>G16*H16</f>
        <v/>
      </c>
      <c r="L16" s="7">
        <f>K16*37</f>
        <v/>
      </c>
    </row>
    <row r="17">
      <c r="A17" t="inlineStr">
        <is>
          <t>EXP016</t>
        </is>
      </c>
      <c r="B17" s="5" t="n">
        <v>46268</v>
      </c>
      <c r="C17" t="inlineStr">
        <is>
          <t>Carne bovina</t>
        </is>
      </c>
      <c r="D17" t="inlineStr">
        <is>
          <t>Cárnicos</t>
        </is>
      </c>
      <c r="E17" t="inlineStr">
        <is>
          <t>El Salvador</t>
        </is>
      </c>
      <c r="F17" t="inlineStr">
        <is>
          <t>Salvador Meat Importers</t>
        </is>
      </c>
      <c r="G17" s="1" t="n">
        <v>8000</v>
      </c>
      <c r="H17" s="6" t="n">
        <v>5</v>
      </c>
      <c r="I17" t="inlineStr">
        <is>
          <t>CIF</t>
        </is>
      </c>
      <c r="J17" t="inlineStr">
        <is>
          <t>Ana</t>
        </is>
      </c>
      <c r="K17" s="6">
        <f>G17*H17</f>
        <v/>
      </c>
      <c r="L17" s="7">
        <f>K17*37</f>
        <v/>
      </c>
    </row>
    <row r="18">
      <c r="A18" t="inlineStr">
        <is>
          <t>EXP017</t>
        </is>
      </c>
      <c r="B18" s="5" t="n">
        <v>46272</v>
      </c>
      <c r="C18" t="inlineStr">
        <is>
          <t>Ajonjolí</t>
        </is>
      </c>
      <c r="D18" t="inlineStr">
        <is>
          <t>Granos</t>
        </is>
      </c>
      <c r="E18" t="inlineStr">
        <is>
          <t>Japón</t>
        </is>
      </c>
      <c r="F18" t="inlineStr">
        <is>
          <t>Nippon Foods</t>
        </is>
      </c>
      <c r="G18" s="1" t="n">
        <v>5000</v>
      </c>
      <c r="H18" s="6" t="n">
        <v>3.05</v>
      </c>
      <c r="I18" t="inlineStr">
        <is>
          <t>FOB</t>
        </is>
      </c>
      <c r="J18" t="inlineStr">
        <is>
          <t>Carlos</t>
        </is>
      </c>
      <c r="K18" s="6">
        <f>G18*H18</f>
        <v/>
      </c>
      <c r="L18" s="7">
        <f>K18*37</f>
        <v/>
      </c>
    </row>
    <row r="19">
      <c r="A19" t="inlineStr">
        <is>
          <t>EXP018</t>
        </is>
      </c>
      <c r="B19" s="5" t="n">
        <v>46276</v>
      </c>
      <c r="C19" t="inlineStr">
        <is>
          <t>Cacao en grano</t>
        </is>
      </c>
      <c r="D19" t="inlineStr">
        <is>
          <t>Cacao</t>
        </is>
      </c>
      <c r="E19" t="inlineStr">
        <is>
          <t>Alemania</t>
        </is>
      </c>
      <c r="F19" t="inlineStr">
        <is>
          <t>Euro Cocoa GmbH</t>
        </is>
      </c>
      <c r="G19" s="1" t="n">
        <v>4500</v>
      </c>
      <c r="H19" s="6" t="n">
        <v>5.1</v>
      </c>
      <c r="I19" t="inlineStr">
        <is>
          <t>FOB</t>
        </is>
      </c>
      <c r="J19" t="inlineStr">
        <is>
          <t>María</t>
        </is>
      </c>
      <c r="K19" s="6">
        <f>G19*H19</f>
        <v/>
      </c>
      <c r="L19" s="7">
        <f>K19*37</f>
        <v/>
      </c>
    </row>
    <row r="20">
      <c r="A20" t="inlineStr">
        <is>
          <t>EXP019</t>
        </is>
      </c>
      <c r="B20" s="5" t="n">
        <v>46280</v>
      </c>
      <c r="C20" t="inlineStr">
        <is>
          <t>Café oro</t>
        </is>
      </c>
      <c r="D20" t="inlineStr">
        <is>
          <t>Café</t>
        </is>
      </c>
      <c r="E20" t="inlineStr">
        <is>
          <t>Alemania</t>
        </is>
      </c>
      <c r="F20" t="inlineStr">
        <is>
          <t>German Coffee Import</t>
        </is>
      </c>
      <c r="G20" s="1" t="n">
        <v>6500</v>
      </c>
      <c r="H20" s="6" t="n">
        <v>6.5</v>
      </c>
      <c r="I20" t="inlineStr">
        <is>
          <t>FOB</t>
        </is>
      </c>
      <c r="J20" t="inlineStr">
        <is>
          <t>Ana</t>
        </is>
      </c>
      <c r="K20" s="6">
        <f>G20*H20</f>
        <v/>
      </c>
      <c r="L20" s="7">
        <f>K20*37</f>
        <v/>
      </c>
    </row>
    <row r="21">
      <c r="A21" t="inlineStr">
        <is>
          <t>EXP020</t>
        </is>
      </c>
      <c r="B21" s="5" t="n">
        <v>46285</v>
      </c>
      <c r="C21" t="inlineStr">
        <is>
          <t>Camarón</t>
        </is>
      </c>
      <c r="D21" t="inlineStr">
        <is>
          <t>Pesca</t>
        </is>
      </c>
      <c r="E21" t="inlineStr">
        <is>
          <t>España</t>
        </is>
      </c>
      <c r="F21" t="inlineStr">
        <is>
          <t>Iberia Seafood</t>
        </is>
      </c>
      <c r="G21" s="1" t="n">
        <v>6000</v>
      </c>
      <c r="H21" s="6" t="n">
        <v>7.35</v>
      </c>
      <c r="I21" t="inlineStr">
        <is>
          <t>CIF</t>
        </is>
      </c>
      <c r="J21" t="inlineStr">
        <is>
          <t>Carlos</t>
        </is>
      </c>
      <c r="K21" s="6">
        <f>G21*H21</f>
        <v/>
      </c>
      <c r="L21" s="7">
        <f>K21*37</f>
        <v/>
      </c>
    </row>
    <row r="22"/>
    <row r="23">
      <c r="A23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A. Orden por valor de exportación: mayor a menor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EXP008</t>
        </is>
      </c>
      <c r="B4" s="5" t="n">
        <v>46236</v>
      </c>
      <c r="C4" t="inlineStr">
        <is>
          <t>Carne bovina</t>
        </is>
      </c>
      <c r="D4" t="inlineStr">
        <is>
          <t>Cárnicos</t>
        </is>
      </c>
      <c r="E4" t="inlineStr">
        <is>
          <t>Estados Unidos</t>
        </is>
      </c>
      <c r="F4" t="inlineStr">
        <is>
          <t>American Meat Corp.</t>
        </is>
      </c>
      <c r="G4" t="n">
        <v>10000</v>
      </c>
      <c r="H4" s="6" t="n">
        <v>5.1</v>
      </c>
      <c r="I4" t="inlineStr">
        <is>
          <t>CIF</t>
        </is>
      </c>
      <c r="J4" t="inlineStr">
        <is>
          <t>Carlos</t>
        </is>
      </c>
      <c r="K4" s="6">
        <f>G4*H4</f>
        <v/>
      </c>
      <c r="L4" s="7">
        <f>K4*37</f>
        <v/>
      </c>
    </row>
    <row r="5">
      <c r="A5" t="inlineStr">
        <is>
          <t>EXP013</t>
        </is>
      </c>
      <c r="B5" s="5" t="n">
        <v>46256</v>
      </c>
      <c r="C5" t="inlineStr">
        <is>
          <t>Café oro</t>
        </is>
      </c>
      <c r="D5" t="inlineStr">
        <is>
          <t>Café</t>
        </is>
      </c>
      <c r="E5" t="inlineStr">
        <is>
          <t>Estados Unidos</t>
        </is>
      </c>
      <c r="F5" t="inlineStr">
        <is>
          <t>Global Coffee Traders</t>
        </is>
      </c>
      <c r="G5" t="n">
        <v>7000</v>
      </c>
      <c r="H5" s="6" t="n">
        <v>6.35</v>
      </c>
      <c r="I5" t="inlineStr">
        <is>
          <t>FOB</t>
        </is>
      </c>
      <c r="J5" t="inlineStr">
        <is>
          <t>Ana</t>
        </is>
      </c>
      <c r="K5" s="6">
        <f>G5*H5</f>
        <v/>
      </c>
      <c r="L5" s="7">
        <f>K5*37</f>
        <v/>
      </c>
    </row>
    <row r="6">
      <c r="A6" t="inlineStr">
        <is>
          <t>EXP020</t>
        </is>
      </c>
      <c r="B6" s="5" t="n">
        <v>46285</v>
      </c>
      <c r="C6" t="inlineStr">
        <is>
          <t>Camarón</t>
        </is>
      </c>
      <c r="D6" t="inlineStr">
        <is>
          <t>Pesca</t>
        </is>
      </c>
      <c r="E6" t="inlineStr">
        <is>
          <t>España</t>
        </is>
      </c>
      <c r="F6" t="inlineStr">
        <is>
          <t>Iberia Seafood</t>
        </is>
      </c>
      <c r="G6" t="n">
        <v>6000</v>
      </c>
      <c r="H6" s="6" t="n">
        <v>7.35</v>
      </c>
      <c r="I6" t="inlineStr">
        <is>
          <t>CIF</t>
        </is>
      </c>
      <c r="J6" t="inlineStr">
        <is>
          <t>Carlos</t>
        </is>
      </c>
      <c r="K6" s="6">
        <f>G6*H6</f>
        <v/>
      </c>
      <c r="L6" s="7">
        <f>K6*37</f>
        <v/>
      </c>
    </row>
    <row r="7">
      <c r="A7" t="inlineStr">
        <is>
          <t>EXP019</t>
        </is>
      </c>
      <c r="B7" s="5" t="n">
        <v>46280</v>
      </c>
      <c r="C7" t="inlineStr">
        <is>
          <t>Café oro</t>
        </is>
      </c>
      <c r="D7" t="inlineStr">
        <is>
          <t>Café</t>
        </is>
      </c>
      <c r="E7" t="inlineStr">
        <is>
          <t>Alemania</t>
        </is>
      </c>
      <c r="F7" t="inlineStr">
        <is>
          <t>German Coffee Import</t>
        </is>
      </c>
      <c r="G7" t="n">
        <v>6500</v>
      </c>
      <c r="H7" s="6" t="n">
        <v>6.5</v>
      </c>
      <c r="I7" t="inlineStr">
        <is>
          <t>FOB</t>
        </is>
      </c>
      <c r="J7" t="inlineStr">
        <is>
          <t>Ana</t>
        </is>
      </c>
      <c r="K7" s="6">
        <f>G7*H7</f>
        <v/>
      </c>
      <c r="L7" s="7">
        <f>K7*37</f>
        <v/>
      </c>
    </row>
    <row r="8">
      <c r="A8" t="inlineStr">
        <is>
          <t>EXP016</t>
        </is>
      </c>
      <c r="B8" s="5" t="n">
        <v>46268</v>
      </c>
      <c r="C8" t="inlineStr">
        <is>
          <t>Carne bovina</t>
        </is>
      </c>
      <c r="D8" t="inlineStr">
        <is>
          <t>Cárnicos</t>
        </is>
      </c>
      <c r="E8" t="inlineStr">
        <is>
          <t>El Salvador</t>
        </is>
      </c>
      <c r="F8" t="inlineStr">
        <is>
          <t>Salvador Meat Importers</t>
        </is>
      </c>
      <c r="G8" t="n">
        <v>8000</v>
      </c>
      <c r="H8" s="6" t="n">
        <v>5</v>
      </c>
      <c r="I8" t="inlineStr">
        <is>
          <t>CIF</t>
        </is>
      </c>
      <c r="J8" t="inlineStr">
        <is>
          <t>Ana</t>
        </is>
      </c>
      <c r="K8" s="6">
        <f>G8*H8</f>
        <v/>
      </c>
      <c r="L8" s="7">
        <f>K8*37</f>
        <v/>
      </c>
    </row>
    <row r="9">
      <c r="A9" t="inlineStr">
        <is>
          <t>EXP007</t>
        </is>
      </c>
      <c r="B9" s="5" t="n">
        <v>46230</v>
      </c>
      <c r="C9" t="inlineStr">
        <is>
          <t>Café oro</t>
        </is>
      </c>
      <c r="D9" t="inlineStr">
        <is>
          <t>Café</t>
        </is>
      </c>
      <c r="E9" t="inlineStr">
        <is>
          <t>Bélgica</t>
        </is>
      </c>
      <c r="F9" t="inlineStr">
        <is>
          <t>Belgian Coffee House</t>
        </is>
      </c>
      <c r="G9" t="n">
        <v>6000</v>
      </c>
      <c r="H9" s="6" t="n">
        <v>6.4</v>
      </c>
      <c r="I9" t="inlineStr">
        <is>
          <t>FOB</t>
        </is>
      </c>
      <c r="J9" t="inlineStr">
        <is>
          <t>Ana</t>
        </is>
      </c>
      <c r="K9" s="6">
        <f>G9*H9</f>
        <v/>
      </c>
      <c r="L9" s="7">
        <f>K9*37</f>
        <v/>
      </c>
    </row>
    <row r="10">
      <c r="A10" t="inlineStr">
        <is>
          <t>EXP014</t>
        </is>
      </c>
      <c r="B10" s="5" t="n">
        <v>46260</v>
      </c>
      <c r="C10" t="inlineStr">
        <is>
          <t>Camarón</t>
        </is>
      </c>
      <c r="D10" t="inlineStr">
        <is>
          <t>Pesca</t>
        </is>
      </c>
      <c r="E10" t="inlineStr">
        <is>
          <t>México</t>
        </is>
      </c>
      <c r="F10" t="inlineStr">
        <is>
          <t>Pacific Seafood MX</t>
        </is>
      </c>
      <c r="G10" t="n">
        <v>5000</v>
      </c>
      <c r="H10" s="6" t="n">
        <v>7</v>
      </c>
      <c r="I10" t="inlineStr">
        <is>
          <t>CIF</t>
        </is>
      </c>
      <c r="J10" t="inlineStr">
        <is>
          <t>Carlos</t>
        </is>
      </c>
      <c r="K10" s="6">
        <f>G10*H10</f>
        <v/>
      </c>
      <c r="L10" s="7">
        <f>K10*37</f>
        <v/>
      </c>
    </row>
    <row r="11">
      <c r="A11" t="inlineStr">
        <is>
          <t>EXP006</t>
        </is>
      </c>
      <c r="B11" s="5" t="n">
        <v>46226</v>
      </c>
      <c r="C11" t="inlineStr">
        <is>
          <t>Camarón</t>
        </is>
      </c>
      <c r="D11" t="inlineStr">
        <is>
          <t>Pesca</t>
        </is>
      </c>
      <c r="E11" t="inlineStr">
        <is>
          <t>España</t>
        </is>
      </c>
      <c r="F11" t="inlineStr">
        <is>
          <t>Iberia Seafood</t>
        </is>
      </c>
      <c r="G11" t="n">
        <v>4500</v>
      </c>
      <c r="H11" s="6" t="n">
        <v>7.2</v>
      </c>
      <c r="I11" t="inlineStr">
        <is>
          <t>CIF</t>
        </is>
      </c>
      <c r="J11" t="inlineStr">
        <is>
          <t>María</t>
        </is>
      </c>
      <c r="K11" s="6">
        <f>G11*H11</f>
        <v/>
      </c>
      <c r="L11" s="7">
        <f>K11*37</f>
        <v/>
      </c>
    </row>
    <row r="12">
      <c r="A12" t="inlineStr">
        <is>
          <t>EXP001</t>
        </is>
      </c>
      <c r="B12" s="5" t="n">
        <v>46208</v>
      </c>
      <c r="C12" t="inlineStr">
        <is>
          <t>Café oro</t>
        </is>
      </c>
      <c r="D12" t="inlineStr">
        <is>
          <t>Café</t>
        </is>
      </c>
      <c r="E12" t="inlineStr">
        <is>
          <t>Estados Unidos</t>
        </is>
      </c>
      <c r="F12" t="inlineStr">
        <is>
          <t>Global Coffee Traders</t>
        </is>
      </c>
      <c r="G12" t="n">
        <v>5000</v>
      </c>
      <c r="H12" s="6" t="n">
        <v>6.2</v>
      </c>
      <c r="I12" t="inlineStr">
        <is>
          <t>FOB</t>
        </is>
      </c>
      <c r="J12" t="inlineStr">
        <is>
          <t>Ana</t>
        </is>
      </c>
      <c r="K12" s="6">
        <f>G12*H12</f>
        <v/>
      </c>
      <c r="L12" s="7">
        <f>K12*37</f>
        <v/>
      </c>
    </row>
    <row r="13">
      <c r="A13" t="inlineStr">
        <is>
          <t>EXP010</t>
        </is>
      </c>
      <c r="B13" s="5" t="n">
        <v>46244</v>
      </c>
      <c r="C13" t="inlineStr">
        <is>
          <t>Cacao en grano</t>
        </is>
      </c>
      <c r="D13" t="inlineStr">
        <is>
          <t>Cacao</t>
        </is>
      </c>
      <c r="E13" t="inlineStr">
        <is>
          <t>Países Bajos</t>
        </is>
      </c>
      <c r="F13" t="inlineStr">
        <is>
          <t>Dutch Cocoa Trading</t>
        </is>
      </c>
      <c r="G13" t="n">
        <v>5500</v>
      </c>
      <c r="H13" s="6" t="n">
        <v>4.95</v>
      </c>
      <c r="I13" t="inlineStr">
        <is>
          <t>FOB</t>
        </is>
      </c>
      <c r="J13" t="inlineStr">
        <is>
          <t>Ana</t>
        </is>
      </c>
      <c r="K13" s="6">
        <f>G13*H13</f>
        <v/>
      </c>
      <c r="L13" s="7">
        <f>K13*37</f>
        <v/>
      </c>
    </row>
    <row r="14">
      <c r="A14" t="inlineStr">
        <is>
          <t>EXP012</t>
        </is>
      </c>
      <c r="B14" s="5" t="n">
        <v>46252</v>
      </c>
      <c r="C14" t="inlineStr">
        <is>
          <t>Tabaco</t>
        </is>
      </c>
      <c r="D14" t="inlineStr">
        <is>
          <t>Manufactura</t>
        </is>
      </c>
      <c r="E14" t="inlineStr">
        <is>
          <t>España</t>
        </is>
      </c>
      <c r="F14" t="inlineStr">
        <is>
          <t>Iberian Tobacco</t>
        </is>
      </c>
      <c r="G14" t="n">
        <v>2500</v>
      </c>
      <c r="H14" s="6" t="n">
        <v>9.199999999999999</v>
      </c>
      <c r="I14" t="inlineStr">
        <is>
          <t>FOB</t>
        </is>
      </c>
      <c r="J14" t="inlineStr">
        <is>
          <t>María</t>
        </is>
      </c>
      <c r="K14" s="6">
        <f>G14*H14</f>
        <v/>
      </c>
      <c r="L14" s="7">
        <f>K14*37</f>
        <v/>
      </c>
    </row>
    <row r="15">
      <c r="A15" t="inlineStr">
        <is>
          <t>EXP018</t>
        </is>
      </c>
      <c r="B15" s="5" t="n">
        <v>46276</v>
      </c>
      <c r="C15" t="inlineStr">
        <is>
          <t>Cacao en grano</t>
        </is>
      </c>
      <c r="D15" t="inlineStr">
        <is>
          <t>Cacao</t>
        </is>
      </c>
      <c r="E15" t="inlineStr">
        <is>
          <t>Alemania</t>
        </is>
      </c>
      <c r="F15" t="inlineStr">
        <is>
          <t>Euro Cocoa GmbH</t>
        </is>
      </c>
      <c r="G15" t="n">
        <v>4500</v>
      </c>
      <c r="H15" s="6" t="n">
        <v>5.1</v>
      </c>
      <c r="I15" t="inlineStr">
        <is>
          <t>FOB</t>
        </is>
      </c>
      <c r="J15" t="inlineStr">
        <is>
          <t>María</t>
        </is>
      </c>
      <c r="K15" s="6">
        <f>G15*H15</f>
        <v/>
      </c>
      <c r="L15" s="7">
        <f>K15*37</f>
        <v/>
      </c>
    </row>
    <row r="16">
      <c r="A16" t="inlineStr">
        <is>
          <t>EXP004</t>
        </is>
      </c>
      <c r="B16" s="5" t="n">
        <v>46218</v>
      </c>
      <c r="C16" t="inlineStr">
        <is>
          <t>Tabaco</t>
        </is>
      </c>
      <c r="D16" t="inlineStr">
        <is>
          <t>Manufactura</t>
        </is>
      </c>
      <c r="E16" t="inlineStr">
        <is>
          <t>Estados Unidos</t>
        </is>
      </c>
      <c r="F16" t="inlineStr">
        <is>
          <t>Premium Tobacco Inc.</t>
        </is>
      </c>
      <c r="G16" t="n">
        <v>2000</v>
      </c>
      <c r="H16" s="6" t="n">
        <v>9.5</v>
      </c>
      <c r="I16" t="inlineStr">
        <is>
          <t>FOB</t>
        </is>
      </c>
      <c r="J16" t="inlineStr">
        <is>
          <t>Ana</t>
        </is>
      </c>
      <c r="K16" s="6">
        <f>G16*H16</f>
        <v/>
      </c>
      <c r="L16" s="7">
        <f>K16*37</f>
        <v/>
      </c>
    </row>
    <row r="17">
      <c r="A17" t="inlineStr">
        <is>
          <t>EXP002</t>
        </is>
      </c>
      <c r="B17" s="5" t="n">
        <v>46211</v>
      </c>
      <c r="C17" t="inlineStr">
        <is>
          <t>Cacao en grano</t>
        </is>
      </c>
      <c r="D17" t="inlineStr">
        <is>
          <t>Cacao</t>
        </is>
      </c>
      <c r="E17" t="inlineStr">
        <is>
          <t>Alemania</t>
        </is>
      </c>
      <c r="F17" t="inlineStr">
        <is>
          <t>Euro Cocoa GmbH</t>
        </is>
      </c>
      <c r="G17" t="n">
        <v>3500</v>
      </c>
      <c r="H17" s="6" t="n">
        <v>4.8</v>
      </c>
      <c r="I17" t="inlineStr">
        <is>
          <t>FOB</t>
        </is>
      </c>
      <c r="J17" t="inlineStr">
        <is>
          <t>Carlos</t>
        </is>
      </c>
      <c r="K17" s="6">
        <f>G17*H17</f>
        <v/>
      </c>
      <c r="L17" s="7">
        <f>K17*37</f>
        <v/>
      </c>
    </row>
    <row r="18">
      <c r="A18" t="inlineStr">
        <is>
          <t>EXP017</t>
        </is>
      </c>
      <c r="B18" s="5" t="n">
        <v>46272</v>
      </c>
      <c r="C18" t="inlineStr">
        <is>
          <t>Ajonjolí</t>
        </is>
      </c>
      <c r="D18" t="inlineStr">
        <is>
          <t>Granos</t>
        </is>
      </c>
      <c r="E18" t="inlineStr">
        <is>
          <t>Japón</t>
        </is>
      </c>
      <c r="F18" t="inlineStr">
        <is>
          <t>Nippon Foods</t>
        </is>
      </c>
      <c r="G18" t="n">
        <v>5000</v>
      </c>
      <c r="H18" s="6" t="n">
        <v>3.05</v>
      </c>
      <c r="I18" t="inlineStr">
        <is>
          <t>FOB</t>
        </is>
      </c>
      <c r="J18" t="inlineStr">
        <is>
          <t>Carlos</t>
        </is>
      </c>
      <c r="K18" s="6">
        <f>G18*H18</f>
        <v/>
      </c>
      <c r="L18" s="7">
        <f>K18*37</f>
        <v/>
      </c>
    </row>
    <row r="19">
      <c r="A19" t="inlineStr">
        <is>
          <t>EXP003</t>
        </is>
      </c>
      <c r="B19" s="5" t="n">
        <v>46215</v>
      </c>
      <c r="C19" t="inlineStr">
        <is>
          <t>Maní</t>
        </is>
      </c>
      <c r="D19" t="inlineStr">
        <is>
          <t>Granos</t>
        </is>
      </c>
      <c r="E19" t="inlineStr">
        <is>
          <t>México</t>
        </is>
      </c>
      <c r="F19" t="inlineStr">
        <is>
          <t>Comercializadora Azteca</t>
        </is>
      </c>
      <c r="G19" t="n">
        <v>8000</v>
      </c>
      <c r="H19" s="6" t="n">
        <v>1.65</v>
      </c>
      <c r="I19" t="inlineStr">
        <is>
          <t>CIF</t>
        </is>
      </c>
      <c r="J19" t="inlineStr">
        <is>
          <t>María</t>
        </is>
      </c>
      <c r="K19" s="6">
        <f>G19*H19</f>
        <v/>
      </c>
      <c r="L19" s="7">
        <f>K19*37</f>
        <v/>
      </c>
    </row>
    <row r="20">
      <c r="A20" t="inlineStr">
        <is>
          <t>EXP011</t>
        </is>
      </c>
      <c r="B20" s="5" t="n">
        <v>46248</v>
      </c>
      <c r="C20" t="inlineStr">
        <is>
          <t>Maní</t>
        </is>
      </c>
      <c r="D20" t="inlineStr">
        <is>
          <t>Granos</t>
        </is>
      </c>
      <c r="E20" t="inlineStr">
        <is>
          <t>Canadá</t>
        </is>
      </c>
      <c r="F20" t="inlineStr">
        <is>
          <t>Canadian Foods Ltd.</t>
        </is>
      </c>
      <c r="G20" t="n">
        <v>7500</v>
      </c>
      <c r="H20" s="6" t="n">
        <v>1.75</v>
      </c>
      <c r="I20" t="inlineStr">
        <is>
          <t>CIF</t>
        </is>
      </c>
      <c r="J20" t="inlineStr">
        <is>
          <t>Carlos</t>
        </is>
      </c>
      <c r="K20" s="6">
        <f>G20*H20</f>
        <v/>
      </c>
      <c r="L20" s="7">
        <f>K20*37</f>
        <v/>
      </c>
    </row>
    <row r="21">
      <c r="A21" t="inlineStr">
        <is>
          <t>EXP015</t>
        </is>
      </c>
      <c r="B21" s="5" t="n">
        <v>46264</v>
      </c>
      <c r="C21" t="inlineStr">
        <is>
          <t>Azúcar</t>
        </is>
      </c>
      <c r="D21" t="inlineStr">
        <is>
          <t>Agroindustria</t>
        </is>
      </c>
      <c r="E21" t="inlineStr">
        <is>
          <t>Honduras</t>
        </is>
      </c>
      <c r="F21" t="inlineStr">
        <is>
          <t>Honduran Foods</t>
        </is>
      </c>
      <c r="G21" t="n">
        <v>15000</v>
      </c>
      <c r="H21" s="6" t="n">
        <v>0.82</v>
      </c>
      <c r="I21" t="inlineStr">
        <is>
          <t>CIF</t>
        </is>
      </c>
      <c r="J21" t="inlineStr">
        <is>
          <t>María</t>
        </is>
      </c>
      <c r="K21" s="6">
        <f>G21*H21</f>
        <v/>
      </c>
      <c r="L21" s="7">
        <f>K21*37</f>
        <v/>
      </c>
    </row>
    <row r="22">
      <c r="A22" t="inlineStr">
        <is>
          <t>EXP009</t>
        </is>
      </c>
      <c r="B22" s="5" t="n">
        <v>46240</v>
      </c>
      <c r="C22" t="inlineStr">
        <is>
          <t>Ajonjolí</t>
        </is>
      </c>
      <c r="D22" t="inlineStr">
        <is>
          <t>Granos</t>
        </is>
      </c>
      <c r="E22" t="inlineStr">
        <is>
          <t>Japón</t>
        </is>
      </c>
      <c r="F22" t="inlineStr">
        <is>
          <t>Nippon Foods</t>
        </is>
      </c>
      <c r="G22" t="n">
        <v>4000</v>
      </c>
      <c r="H22" s="6" t="n">
        <v>2.9</v>
      </c>
      <c r="I22" t="inlineStr">
        <is>
          <t>FOB</t>
        </is>
      </c>
      <c r="J22" t="inlineStr">
        <is>
          <t>María</t>
        </is>
      </c>
      <c r="K22" s="6">
        <f>G22*H22</f>
        <v/>
      </c>
      <c r="L22" s="7">
        <f>K22*37</f>
        <v/>
      </c>
    </row>
    <row r="23">
      <c r="A23" t="inlineStr">
        <is>
          <t>EXP005</t>
        </is>
      </c>
      <c r="B23" s="5" t="n">
        <v>46222</v>
      </c>
      <c r="C23" t="inlineStr">
        <is>
          <t>Azúcar</t>
        </is>
      </c>
      <c r="D23" t="inlineStr">
        <is>
          <t>Agroindustria</t>
        </is>
      </c>
      <c r="E23" t="inlineStr">
        <is>
          <t>Guatemala</t>
        </is>
      </c>
      <c r="F23" t="inlineStr">
        <is>
          <t>Central Foods</t>
        </is>
      </c>
      <c r="G23" t="n">
        <v>12000</v>
      </c>
      <c r="H23" s="6" t="n">
        <v>0.85</v>
      </c>
      <c r="I23" t="inlineStr">
        <is>
          <t>CIF</t>
        </is>
      </c>
      <c r="J23" t="inlineStr">
        <is>
          <t>Carlos</t>
        </is>
      </c>
      <c r="K23" s="6">
        <f>G23*H23</f>
        <v/>
      </c>
      <c r="L23" s="7">
        <f>K23*37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B. Orden por cantidad exportada: mayor a menor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EXP015</t>
        </is>
      </c>
      <c r="B4" s="5" t="n">
        <v>46264</v>
      </c>
      <c r="C4" t="inlineStr">
        <is>
          <t>Azúcar</t>
        </is>
      </c>
      <c r="D4" t="inlineStr">
        <is>
          <t>Agroindustria</t>
        </is>
      </c>
      <c r="E4" t="inlineStr">
        <is>
          <t>Honduras</t>
        </is>
      </c>
      <c r="F4" t="inlineStr">
        <is>
          <t>Honduran Foods</t>
        </is>
      </c>
      <c r="G4" t="n">
        <v>15000</v>
      </c>
      <c r="H4" s="6" t="n">
        <v>0.82</v>
      </c>
      <c r="I4" t="inlineStr">
        <is>
          <t>CIF</t>
        </is>
      </c>
      <c r="J4" t="inlineStr">
        <is>
          <t>María</t>
        </is>
      </c>
      <c r="K4" s="6">
        <f>G4*H4</f>
        <v/>
      </c>
      <c r="L4" s="7">
        <f>K4*37</f>
        <v/>
      </c>
    </row>
    <row r="5">
      <c r="A5" t="inlineStr">
        <is>
          <t>EXP005</t>
        </is>
      </c>
      <c r="B5" s="5" t="n">
        <v>46222</v>
      </c>
      <c r="C5" t="inlineStr">
        <is>
          <t>Azúcar</t>
        </is>
      </c>
      <c r="D5" t="inlineStr">
        <is>
          <t>Agroindustria</t>
        </is>
      </c>
      <c r="E5" t="inlineStr">
        <is>
          <t>Guatemala</t>
        </is>
      </c>
      <c r="F5" t="inlineStr">
        <is>
          <t>Central Foods</t>
        </is>
      </c>
      <c r="G5" t="n">
        <v>12000</v>
      </c>
      <c r="H5" s="6" t="n">
        <v>0.85</v>
      </c>
      <c r="I5" t="inlineStr">
        <is>
          <t>CIF</t>
        </is>
      </c>
      <c r="J5" t="inlineStr">
        <is>
          <t>Carlos</t>
        </is>
      </c>
      <c r="K5" s="6">
        <f>G5*H5</f>
        <v/>
      </c>
      <c r="L5" s="7">
        <f>K5*37</f>
        <v/>
      </c>
    </row>
    <row r="6">
      <c r="A6" t="inlineStr">
        <is>
          <t>EXP008</t>
        </is>
      </c>
      <c r="B6" s="5" t="n">
        <v>46236</v>
      </c>
      <c r="C6" t="inlineStr">
        <is>
          <t>Carne bovina</t>
        </is>
      </c>
      <c r="D6" t="inlineStr">
        <is>
          <t>Cárnicos</t>
        </is>
      </c>
      <c r="E6" t="inlineStr">
        <is>
          <t>Estados Unidos</t>
        </is>
      </c>
      <c r="F6" t="inlineStr">
        <is>
          <t>American Meat Corp.</t>
        </is>
      </c>
      <c r="G6" t="n">
        <v>10000</v>
      </c>
      <c r="H6" s="6" t="n">
        <v>5.1</v>
      </c>
      <c r="I6" t="inlineStr">
        <is>
          <t>CIF</t>
        </is>
      </c>
      <c r="J6" t="inlineStr">
        <is>
          <t>Carlos</t>
        </is>
      </c>
      <c r="K6" s="6">
        <f>G6*H6</f>
        <v/>
      </c>
      <c r="L6" s="7">
        <f>K6*37</f>
        <v/>
      </c>
    </row>
    <row r="7">
      <c r="A7" t="inlineStr">
        <is>
          <t>EXP003</t>
        </is>
      </c>
      <c r="B7" s="5" t="n">
        <v>46215</v>
      </c>
      <c r="C7" t="inlineStr">
        <is>
          <t>Maní</t>
        </is>
      </c>
      <c r="D7" t="inlineStr">
        <is>
          <t>Granos</t>
        </is>
      </c>
      <c r="E7" t="inlineStr">
        <is>
          <t>México</t>
        </is>
      </c>
      <c r="F7" t="inlineStr">
        <is>
          <t>Comercializadora Azteca</t>
        </is>
      </c>
      <c r="G7" t="n">
        <v>8000</v>
      </c>
      <c r="H7" s="6" t="n">
        <v>1.65</v>
      </c>
      <c r="I7" t="inlineStr">
        <is>
          <t>CIF</t>
        </is>
      </c>
      <c r="J7" t="inlineStr">
        <is>
          <t>María</t>
        </is>
      </c>
      <c r="K7" s="6">
        <f>G7*H7</f>
        <v/>
      </c>
      <c r="L7" s="7">
        <f>K7*37</f>
        <v/>
      </c>
    </row>
    <row r="8">
      <c r="A8" t="inlineStr">
        <is>
          <t>EXP016</t>
        </is>
      </c>
      <c r="B8" s="5" t="n">
        <v>46268</v>
      </c>
      <c r="C8" t="inlineStr">
        <is>
          <t>Carne bovina</t>
        </is>
      </c>
      <c r="D8" t="inlineStr">
        <is>
          <t>Cárnicos</t>
        </is>
      </c>
      <c r="E8" t="inlineStr">
        <is>
          <t>El Salvador</t>
        </is>
      </c>
      <c r="F8" t="inlineStr">
        <is>
          <t>Salvador Meat Importers</t>
        </is>
      </c>
      <c r="G8" t="n">
        <v>8000</v>
      </c>
      <c r="H8" s="6" t="n">
        <v>5</v>
      </c>
      <c r="I8" t="inlineStr">
        <is>
          <t>CIF</t>
        </is>
      </c>
      <c r="J8" t="inlineStr">
        <is>
          <t>Ana</t>
        </is>
      </c>
      <c r="K8" s="6">
        <f>G8*H8</f>
        <v/>
      </c>
      <c r="L8" s="7">
        <f>K8*37</f>
        <v/>
      </c>
    </row>
    <row r="9">
      <c r="A9" t="inlineStr">
        <is>
          <t>EXP011</t>
        </is>
      </c>
      <c r="B9" s="5" t="n">
        <v>46248</v>
      </c>
      <c r="C9" t="inlineStr">
        <is>
          <t>Maní</t>
        </is>
      </c>
      <c r="D9" t="inlineStr">
        <is>
          <t>Granos</t>
        </is>
      </c>
      <c r="E9" t="inlineStr">
        <is>
          <t>Canadá</t>
        </is>
      </c>
      <c r="F9" t="inlineStr">
        <is>
          <t>Canadian Foods Ltd.</t>
        </is>
      </c>
      <c r="G9" t="n">
        <v>7500</v>
      </c>
      <c r="H9" s="6" t="n">
        <v>1.75</v>
      </c>
      <c r="I9" t="inlineStr">
        <is>
          <t>CIF</t>
        </is>
      </c>
      <c r="J9" t="inlineStr">
        <is>
          <t>Carlos</t>
        </is>
      </c>
      <c r="K9" s="6">
        <f>G9*H9</f>
        <v/>
      </c>
      <c r="L9" s="7">
        <f>K9*37</f>
        <v/>
      </c>
    </row>
    <row r="10">
      <c r="A10" t="inlineStr">
        <is>
          <t>EXP013</t>
        </is>
      </c>
      <c r="B10" s="5" t="n">
        <v>46256</v>
      </c>
      <c r="C10" t="inlineStr">
        <is>
          <t>Café oro</t>
        </is>
      </c>
      <c r="D10" t="inlineStr">
        <is>
          <t>Café</t>
        </is>
      </c>
      <c r="E10" t="inlineStr">
        <is>
          <t>Estados Unidos</t>
        </is>
      </c>
      <c r="F10" t="inlineStr">
        <is>
          <t>Global Coffee Traders</t>
        </is>
      </c>
      <c r="G10" t="n">
        <v>7000</v>
      </c>
      <c r="H10" s="6" t="n">
        <v>6.35</v>
      </c>
      <c r="I10" t="inlineStr">
        <is>
          <t>FOB</t>
        </is>
      </c>
      <c r="J10" t="inlineStr">
        <is>
          <t>Ana</t>
        </is>
      </c>
      <c r="K10" s="6">
        <f>G10*H10</f>
        <v/>
      </c>
      <c r="L10" s="7">
        <f>K10*37</f>
        <v/>
      </c>
    </row>
    <row r="11">
      <c r="A11" t="inlineStr">
        <is>
          <t>EXP019</t>
        </is>
      </c>
      <c r="B11" s="5" t="n">
        <v>46280</v>
      </c>
      <c r="C11" t="inlineStr">
        <is>
          <t>Café oro</t>
        </is>
      </c>
      <c r="D11" t="inlineStr">
        <is>
          <t>Café</t>
        </is>
      </c>
      <c r="E11" t="inlineStr">
        <is>
          <t>Alemania</t>
        </is>
      </c>
      <c r="F11" t="inlineStr">
        <is>
          <t>German Coffee Import</t>
        </is>
      </c>
      <c r="G11" t="n">
        <v>6500</v>
      </c>
      <c r="H11" s="6" t="n">
        <v>6.5</v>
      </c>
      <c r="I11" t="inlineStr">
        <is>
          <t>FOB</t>
        </is>
      </c>
      <c r="J11" t="inlineStr">
        <is>
          <t>Ana</t>
        </is>
      </c>
      <c r="K11" s="6">
        <f>G11*H11</f>
        <v/>
      </c>
      <c r="L11" s="7">
        <f>K11*37</f>
        <v/>
      </c>
    </row>
    <row r="12">
      <c r="A12" t="inlineStr">
        <is>
          <t>EXP007</t>
        </is>
      </c>
      <c r="B12" s="5" t="n">
        <v>46230</v>
      </c>
      <c r="C12" t="inlineStr">
        <is>
          <t>Café oro</t>
        </is>
      </c>
      <c r="D12" t="inlineStr">
        <is>
          <t>Café</t>
        </is>
      </c>
      <c r="E12" t="inlineStr">
        <is>
          <t>Bélgica</t>
        </is>
      </c>
      <c r="F12" t="inlineStr">
        <is>
          <t>Belgian Coffee House</t>
        </is>
      </c>
      <c r="G12" t="n">
        <v>6000</v>
      </c>
      <c r="H12" s="6" t="n">
        <v>6.4</v>
      </c>
      <c r="I12" t="inlineStr">
        <is>
          <t>FOB</t>
        </is>
      </c>
      <c r="J12" t="inlineStr">
        <is>
          <t>Ana</t>
        </is>
      </c>
      <c r="K12" s="6">
        <f>G12*H12</f>
        <v/>
      </c>
      <c r="L12" s="7">
        <f>K12*37</f>
        <v/>
      </c>
    </row>
    <row r="13">
      <c r="A13" t="inlineStr">
        <is>
          <t>EXP020</t>
        </is>
      </c>
      <c r="B13" s="5" t="n">
        <v>46285</v>
      </c>
      <c r="C13" t="inlineStr">
        <is>
          <t>Camarón</t>
        </is>
      </c>
      <c r="D13" t="inlineStr">
        <is>
          <t>Pesca</t>
        </is>
      </c>
      <c r="E13" t="inlineStr">
        <is>
          <t>España</t>
        </is>
      </c>
      <c r="F13" t="inlineStr">
        <is>
          <t>Iberia Seafood</t>
        </is>
      </c>
      <c r="G13" t="n">
        <v>6000</v>
      </c>
      <c r="H13" s="6" t="n">
        <v>7.35</v>
      </c>
      <c r="I13" t="inlineStr">
        <is>
          <t>CIF</t>
        </is>
      </c>
      <c r="J13" t="inlineStr">
        <is>
          <t>Carlos</t>
        </is>
      </c>
      <c r="K13" s="6">
        <f>G13*H13</f>
        <v/>
      </c>
      <c r="L13" s="7">
        <f>K13*37</f>
        <v/>
      </c>
    </row>
    <row r="14">
      <c r="A14" t="inlineStr">
        <is>
          <t>EXP010</t>
        </is>
      </c>
      <c r="B14" s="5" t="n">
        <v>46244</v>
      </c>
      <c r="C14" t="inlineStr">
        <is>
          <t>Cacao en grano</t>
        </is>
      </c>
      <c r="D14" t="inlineStr">
        <is>
          <t>Cacao</t>
        </is>
      </c>
      <c r="E14" t="inlineStr">
        <is>
          <t>Países Bajos</t>
        </is>
      </c>
      <c r="F14" t="inlineStr">
        <is>
          <t>Dutch Cocoa Trading</t>
        </is>
      </c>
      <c r="G14" t="n">
        <v>5500</v>
      </c>
      <c r="H14" s="6" t="n">
        <v>4.95</v>
      </c>
      <c r="I14" t="inlineStr">
        <is>
          <t>FOB</t>
        </is>
      </c>
      <c r="J14" t="inlineStr">
        <is>
          <t>Ana</t>
        </is>
      </c>
      <c r="K14" s="6">
        <f>G14*H14</f>
        <v/>
      </c>
      <c r="L14" s="7">
        <f>K14*37</f>
        <v/>
      </c>
    </row>
    <row r="15">
      <c r="A15" t="inlineStr">
        <is>
          <t>EXP001</t>
        </is>
      </c>
      <c r="B15" s="5" t="n">
        <v>46208</v>
      </c>
      <c r="C15" t="inlineStr">
        <is>
          <t>Café oro</t>
        </is>
      </c>
      <c r="D15" t="inlineStr">
        <is>
          <t>Café</t>
        </is>
      </c>
      <c r="E15" t="inlineStr">
        <is>
          <t>Estados Unidos</t>
        </is>
      </c>
      <c r="F15" t="inlineStr">
        <is>
          <t>Global Coffee Traders</t>
        </is>
      </c>
      <c r="G15" t="n">
        <v>5000</v>
      </c>
      <c r="H15" s="6" t="n">
        <v>6.2</v>
      </c>
      <c r="I15" t="inlineStr">
        <is>
          <t>FOB</t>
        </is>
      </c>
      <c r="J15" t="inlineStr">
        <is>
          <t>Ana</t>
        </is>
      </c>
      <c r="K15" s="6">
        <f>G15*H15</f>
        <v/>
      </c>
      <c r="L15" s="7">
        <f>K15*37</f>
        <v/>
      </c>
    </row>
    <row r="16">
      <c r="A16" t="inlineStr">
        <is>
          <t>EXP014</t>
        </is>
      </c>
      <c r="B16" s="5" t="n">
        <v>46260</v>
      </c>
      <c r="C16" t="inlineStr">
        <is>
          <t>Camarón</t>
        </is>
      </c>
      <c r="D16" t="inlineStr">
        <is>
          <t>Pesca</t>
        </is>
      </c>
      <c r="E16" t="inlineStr">
        <is>
          <t>México</t>
        </is>
      </c>
      <c r="F16" t="inlineStr">
        <is>
          <t>Pacific Seafood MX</t>
        </is>
      </c>
      <c r="G16" t="n">
        <v>5000</v>
      </c>
      <c r="H16" s="6" t="n">
        <v>7</v>
      </c>
      <c r="I16" t="inlineStr">
        <is>
          <t>CIF</t>
        </is>
      </c>
      <c r="J16" t="inlineStr">
        <is>
          <t>Carlos</t>
        </is>
      </c>
      <c r="K16" s="6">
        <f>G16*H16</f>
        <v/>
      </c>
      <c r="L16" s="7">
        <f>K16*37</f>
        <v/>
      </c>
    </row>
    <row r="17">
      <c r="A17" t="inlineStr">
        <is>
          <t>EXP017</t>
        </is>
      </c>
      <c r="B17" s="5" t="n">
        <v>46272</v>
      </c>
      <c r="C17" t="inlineStr">
        <is>
          <t>Ajonjolí</t>
        </is>
      </c>
      <c r="D17" t="inlineStr">
        <is>
          <t>Granos</t>
        </is>
      </c>
      <c r="E17" t="inlineStr">
        <is>
          <t>Japón</t>
        </is>
      </c>
      <c r="F17" t="inlineStr">
        <is>
          <t>Nippon Foods</t>
        </is>
      </c>
      <c r="G17" t="n">
        <v>5000</v>
      </c>
      <c r="H17" s="6" t="n">
        <v>3.05</v>
      </c>
      <c r="I17" t="inlineStr">
        <is>
          <t>FOB</t>
        </is>
      </c>
      <c r="J17" t="inlineStr">
        <is>
          <t>Carlos</t>
        </is>
      </c>
      <c r="K17" s="6">
        <f>G17*H17</f>
        <v/>
      </c>
      <c r="L17" s="7">
        <f>K17*37</f>
        <v/>
      </c>
    </row>
    <row r="18">
      <c r="A18" t="inlineStr">
        <is>
          <t>EXP006</t>
        </is>
      </c>
      <c r="B18" s="5" t="n">
        <v>46226</v>
      </c>
      <c r="C18" t="inlineStr">
        <is>
          <t>Camarón</t>
        </is>
      </c>
      <c r="D18" t="inlineStr">
        <is>
          <t>Pesca</t>
        </is>
      </c>
      <c r="E18" t="inlineStr">
        <is>
          <t>España</t>
        </is>
      </c>
      <c r="F18" t="inlineStr">
        <is>
          <t>Iberia Seafood</t>
        </is>
      </c>
      <c r="G18" t="n">
        <v>4500</v>
      </c>
      <c r="H18" s="6" t="n">
        <v>7.2</v>
      </c>
      <c r="I18" t="inlineStr">
        <is>
          <t>CIF</t>
        </is>
      </c>
      <c r="J18" t="inlineStr">
        <is>
          <t>María</t>
        </is>
      </c>
      <c r="K18" s="6">
        <f>G18*H18</f>
        <v/>
      </c>
      <c r="L18" s="7">
        <f>K18*37</f>
        <v/>
      </c>
    </row>
    <row r="19">
      <c r="A19" t="inlineStr">
        <is>
          <t>EXP018</t>
        </is>
      </c>
      <c r="B19" s="5" t="n">
        <v>46276</v>
      </c>
      <c r="C19" t="inlineStr">
        <is>
          <t>Cacao en grano</t>
        </is>
      </c>
      <c r="D19" t="inlineStr">
        <is>
          <t>Cacao</t>
        </is>
      </c>
      <c r="E19" t="inlineStr">
        <is>
          <t>Alemania</t>
        </is>
      </c>
      <c r="F19" t="inlineStr">
        <is>
          <t>Euro Cocoa GmbH</t>
        </is>
      </c>
      <c r="G19" t="n">
        <v>4500</v>
      </c>
      <c r="H19" s="6" t="n">
        <v>5.1</v>
      </c>
      <c r="I19" t="inlineStr">
        <is>
          <t>FOB</t>
        </is>
      </c>
      <c r="J19" t="inlineStr">
        <is>
          <t>María</t>
        </is>
      </c>
      <c r="K19" s="6">
        <f>G19*H19</f>
        <v/>
      </c>
      <c r="L19" s="7">
        <f>K19*37</f>
        <v/>
      </c>
    </row>
    <row r="20">
      <c r="A20" t="inlineStr">
        <is>
          <t>EXP009</t>
        </is>
      </c>
      <c r="B20" s="5" t="n">
        <v>46240</v>
      </c>
      <c r="C20" t="inlineStr">
        <is>
          <t>Ajonjolí</t>
        </is>
      </c>
      <c r="D20" t="inlineStr">
        <is>
          <t>Granos</t>
        </is>
      </c>
      <c r="E20" t="inlineStr">
        <is>
          <t>Japón</t>
        </is>
      </c>
      <c r="F20" t="inlineStr">
        <is>
          <t>Nippon Foods</t>
        </is>
      </c>
      <c r="G20" t="n">
        <v>4000</v>
      </c>
      <c r="H20" s="6" t="n">
        <v>2.9</v>
      </c>
      <c r="I20" t="inlineStr">
        <is>
          <t>FOB</t>
        </is>
      </c>
      <c r="J20" t="inlineStr">
        <is>
          <t>María</t>
        </is>
      </c>
      <c r="K20" s="6">
        <f>G20*H20</f>
        <v/>
      </c>
      <c r="L20" s="7">
        <f>K20*37</f>
        <v/>
      </c>
    </row>
    <row r="21">
      <c r="A21" t="inlineStr">
        <is>
          <t>EXP002</t>
        </is>
      </c>
      <c r="B21" s="5" t="n">
        <v>46211</v>
      </c>
      <c r="C21" t="inlineStr">
        <is>
          <t>Cacao en grano</t>
        </is>
      </c>
      <c r="D21" t="inlineStr">
        <is>
          <t>Cacao</t>
        </is>
      </c>
      <c r="E21" t="inlineStr">
        <is>
          <t>Alemania</t>
        </is>
      </c>
      <c r="F21" t="inlineStr">
        <is>
          <t>Euro Cocoa GmbH</t>
        </is>
      </c>
      <c r="G21" t="n">
        <v>3500</v>
      </c>
      <c r="H21" s="6" t="n">
        <v>4.8</v>
      </c>
      <c r="I21" t="inlineStr">
        <is>
          <t>FOB</t>
        </is>
      </c>
      <c r="J21" t="inlineStr">
        <is>
          <t>Carlos</t>
        </is>
      </c>
      <c r="K21" s="6">
        <f>G21*H21</f>
        <v/>
      </c>
      <c r="L21" s="7">
        <f>K21*37</f>
        <v/>
      </c>
    </row>
    <row r="22">
      <c r="A22" t="inlineStr">
        <is>
          <t>EXP012</t>
        </is>
      </c>
      <c r="B22" s="5" t="n">
        <v>46252</v>
      </c>
      <c r="C22" t="inlineStr">
        <is>
          <t>Tabaco</t>
        </is>
      </c>
      <c r="D22" t="inlineStr">
        <is>
          <t>Manufactura</t>
        </is>
      </c>
      <c r="E22" t="inlineStr">
        <is>
          <t>España</t>
        </is>
      </c>
      <c r="F22" t="inlineStr">
        <is>
          <t>Iberian Tobacco</t>
        </is>
      </c>
      <c r="G22" t="n">
        <v>2500</v>
      </c>
      <c r="H22" s="6" t="n">
        <v>9.199999999999999</v>
      </c>
      <c r="I22" t="inlineStr">
        <is>
          <t>FOB</t>
        </is>
      </c>
      <c r="J22" t="inlineStr">
        <is>
          <t>María</t>
        </is>
      </c>
      <c r="K22" s="6">
        <f>G22*H22</f>
        <v/>
      </c>
      <c r="L22" s="7">
        <f>K22*37</f>
        <v/>
      </c>
    </row>
    <row r="23">
      <c r="A23" t="inlineStr">
        <is>
          <t>EXP004</t>
        </is>
      </c>
      <c r="B23" s="5" t="n">
        <v>46218</v>
      </c>
      <c r="C23" t="inlineStr">
        <is>
          <t>Tabaco</t>
        </is>
      </c>
      <c r="D23" t="inlineStr">
        <is>
          <t>Manufactura</t>
        </is>
      </c>
      <c r="E23" t="inlineStr">
        <is>
          <t>Estados Unidos</t>
        </is>
      </c>
      <c r="F23" t="inlineStr">
        <is>
          <t>Premium Tobacco Inc.</t>
        </is>
      </c>
      <c r="G23" t="n">
        <v>2000</v>
      </c>
      <c r="H23" s="6" t="n">
        <v>9.5</v>
      </c>
      <c r="I23" t="inlineStr">
        <is>
          <t>FOB</t>
        </is>
      </c>
      <c r="J23" t="inlineStr">
        <is>
          <t>Ana</t>
        </is>
      </c>
      <c r="K23" s="6">
        <f>G23*H23</f>
        <v/>
      </c>
      <c r="L23" s="7">
        <f>K23*37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C. Orden por país de destino: alfabético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EXP002</t>
        </is>
      </c>
      <c r="B4" s="5" t="n">
        <v>46211</v>
      </c>
      <c r="C4" t="inlineStr">
        <is>
          <t>Cacao en grano</t>
        </is>
      </c>
      <c r="D4" t="inlineStr">
        <is>
          <t>Cacao</t>
        </is>
      </c>
      <c r="E4" t="inlineStr">
        <is>
          <t>Alemania</t>
        </is>
      </c>
      <c r="F4" t="inlineStr">
        <is>
          <t>Euro Cocoa GmbH</t>
        </is>
      </c>
      <c r="G4" t="n">
        <v>3500</v>
      </c>
      <c r="H4" s="6" t="n">
        <v>4.8</v>
      </c>
      <c r="I4" t="inlineStr">
        <is>
          <t>FOB</t>
        </is>
      </c>
      <c r="J4" t="inlineStr">
        <is>
          <t>Carlos</t>
        </is>
      </c>
      <c r="K4" s="6">
        <f>G4*H4</f>
        <v/>
      </c>
      <c r="L4" s="7">
        <f>K4*37</f>
        <v/>
      </c>
    </row>
    <row r="5">
      <c r="A5" t="inlineStr">
        <is>
          <t>EXP018</t>
        </is>
      </c>
      <c r="B5" s="5" t="n">
        <v>46276</v>
      </c>
      <c r="C5" t="inlineStr">
        <is>
          <t>Cacao en grano</t>
        </is>
      </c>
      <c r="D5" t="inlineStr">
        <is>
          <t>Cacao</t>
        </is>
      </c>
      <c r="E5" t="inlineStr">
        <is>
          <t>Alemania</t>
        </is>
      </c>
      <c r="F5" t="inlineStr">
        <is>
          <t>Euro Cocoa GmbH</t>
        </is>
      </c>
      <c r="G5" t="n">
        <v>4500</v>
      </c>
      <c r="H5" s="6" t="n">
        <v>5.1</v>
      </c>
      <c r="I5" t="inlineStr">
        <is>
          <t>FOB</t>
        </is>
      </c>
      <c r="J5" t="inlineStr">
        <is>
          <t>María</t>
        </is>
      </c>
      <c r="K5" s="6">
        <f>G5*H5</f>
        <v/>
      </c>
      <c r="L5" s="7">
        <f>K5*37</f>
        <v/>
      </c>
    </row>
    <row r="6">
      <c r="A6" t="inlineStr">
        <is>
          <t>EXP019</t>
        </is>
      </c>
      <c r="B6" s="5" t="n">
        <v>46280</v>
      </c>
      <c r="C6" t="inlineStr">
        <is>
          <t>Café oro</t>
        </is>
      </c>
      <c r="D6" t="inlineStr">
        <is>
          <t>Café</t>
        </is>
      </c>
      <c r="E6" t="inlineStr">
        <is>
          <t>Alemania</t>
        </is>
      </c>
      <c r="F6" t="inlineStr">
        <is>
          <t>German Coffee Import</t>
        </is>
      </c>
      <c r="G6" t="n">
        <v>6500</v>
      </c>
      <c r="H6" s="6" t="n">
        <v>6.5</v>
      </c>
      <c r="I6" t="inlineStr">
        <is>
          <t>FOB</t>
        </is>
      </c>
      <c r="J6" t="inlineStr">
        <is>
          <t>Ana</t>
        </is>
      </c>
      <c r="K6" s="6">
        <f>G6*H6</f>
        <v/>
      </c>
      <c r="L6" s="7">
        <f>K6*37</f>
        <v/>
      </c>
    </row>
    <row r="7">
      <c r="A7" t="inlineStr">
        <is>
          <t>EXP007</t>
        </is>
      </c>
      <c r="B7" s="5" t="n">
        <v>46230</v>
      </c>
      <c r="C7" t="inlineStr">
        <is>
          <t>Café oro</t>
        </is>
      </c>
      <c r="D7" t="inlineStr">
        <is>
          <t>Café</t>
        </is>
      </c>
      <c r="E7" t="inlineStr">
        <is>
          <t>Bélgica</t>
        </is>
      </c>
      <c r="F7" t="inlineStr">
        <is>
          <t>Belgian Coffee House</t>
        </is>
      </c>
      <c r="G7" t="n">
        <v>6000</v>
      </c>
      <c r="H7" s="6" t="n">
        <v>6.4</v>
      </c>
      <c r="I7" t="inlineStr">
        <is>
          <t>FOB</t>
        </is>
      </c>
      <c r="J7" t="inlineStr">
        <is>
          <t>Ana</t>
        </is>
      </c>
      <c r="K7" s="6">
        <f>G7*H7</f>
        <v/>
      </c>
      <c r="L7" s="7">
        <f>K7*37</f>
        <v/>
      </c>
    </row>
    <row r="8">
      <c r="A8" t="inlineStr">
        <is>
          <t>EXP011</t>
        </is>
      </c>
      <c r="B8" s="5" t="n">
        <v>46248</v>
      </c>
      <c r="C8" t="inlineStr">
        <is>
          <t>Maní</t>
        </is>
      </c>
      <c r="D8" t="inlineStr">
        <is>
          <t>Granos</t>
        </is>
      </c>
      <c r="E8" t="inlineStr">
        <is>
          <t>Canadá</t>
        </is>
      </c>
      <c r="F8" t="inlineStr">
        <is>
          <t>Canadian Foods Ltd.</t>
        </is>
      </c>
      <c r="G8" t="n">
        <v>7500</v>
      </c>
      <c r="H8" s="6" t="n">
        <v>1.75</v>
      </c>
      <c r="I8" t="inlineStr">
        <is>
          <t>CIF</t>
        </is>
      </c>
      <c r="J8" t="inlineStr">
        <is>
          <t>Carlos</t>
        </is>
      </c>
      <c r="K8" s="6">
        <f>G8*H8</f>
        <v/>
      </c>
      <c r="L8" s="7">
        <f>K8*37</f>
        <v/>
      </c>
    </row>
    <row r="9">
      <c r="A9" t="inlineStr">
        <is>
          <t>EXP016</t>
        </is>
      </c>
      <c r="B9" s="5" t="n">
        <v>46268</v>
      </c>
      <c r="C9" t="inlineStr">
        <is>
          <t>Carne bovina</t>
        </is>
      </c>
      <c r="D9" t="inlineStr">
        <is>
          <t>Cárnicos</t>
        </is>
      </c>
      <c r="E9" t="inlineStr">
        <is>
          <t>El Salvador</t>
        </is>
      </c>
      <c r="F9" t="inlineStr">
        <is>
          <t>Salvador Meat Importers</t>
        </is>
      </c>
      <c r="G9" t="n">
        <v>8000</v>
      </c>
      <c r="H9" s="6" t="n">
        <v>5</v>
      </c>
      <c r="I9" t="inlineStr">
        <is>
          <t>CIF</t>
        </is>
      </c>
      <c r="J9" t="inlineStr">
        <is>
          <t>Ana</t>
        </is>
      </c>
      <c r="K9" s="6">
        <f>G9*H9</f>
        <v/>
      </c>
      <c r="L9" s="7">
        <f>K9*37</f>
        <v/>
      </c>
    </row>
    <row r="10">
      <c r="A10" t="inlineStr">
        <is>
          <t>EXP006</t>
        </is>
      </c>
      <c r="B10" s="5" t="n">
        <v>46226</v>
      </c>
      <c r="C10" t="inlineStr">
        <is>
          <t>Camarón</t>
        </is>
      </c>
      <c r="D10" t="inlineStr">
        <is>
          <t>Pesca</t>
        </is>
      </c>
      <c r="E10" t="inlineStr">
        <is>
          <t>España</t>
        </is>
      </c>
      <c r="F10" t="inlineStr">
        <is>
          <t>Iberia Seafood</t>
        </is>
      </c>
      <c r="G10" t="n">
        <v>4500</v>
      </c>
      <c r="H10" s="6" t="n">
        <v>7.2</v>
      </c>
      <c r="I10" t="inlineStr">
        <is>
          <t>CIF</t>
        </is>
      </c>
      <c r="J10" t="inlineStr">
        <is>
          <t>María</t>
        </is>
      </c>
      <c r="K10" s="6">
        <f>G10*H10</f>
        <v/>
      </c>
      <c r="L10" s="7">
        <f>K10*37</f>
        <v/>
      </c>
    </row>
    <row r="11">
      <c r="A11" t="inlineStr">
        <is>
          <t>EXP012</t>
        </is>
      </c>
      <c r="B11" s="5" t="n">
        <v>46252</v>
      </c>
      <c r="C11" t="inlineStr">
        <is>
          <t>Tabaco</t>
        </is>
      </c>
      <c r="D11" t="inlineStr">
        <is>
          <t>Manufactura</t>
        </is>
      </c>
      <c r="E11" t="inlineStr">
        <is>
          <t>España</t>
        </is>
      </c>
      <c r="F11" t="inlineStr">
        <is>
          <t>Iberian Tobacco</t>
        </is>
      </c>
      <c r="G11" t="n">
        <v>2500</v>
      </c>
      <c r="H11" s="6" t="n">
        <v>9.199999999999999</v>
      </c>
      <c r="I11" t="inlineStr">
        <is>
          <t>FOB</t>
        </is>
      </c>
      <c r="J11" t="inlineStr">
        <is>
          <t>María</t>
        </is>
      </c>
      <c r="K11" s="6">
        <f>G11*H11</f>
        <v/>
      </c>
      <c r="L11" s="7">
        <f>K11*37</f>
        <v/>
      </c>
    </row>
    <row r="12">
      <c r="A12" t="inlineStr">
        <is>
          <t>EXP020</t>
        </is>
      </c>
      <c r="B12" s="5" t="n">
        <v>46285</v>
      </c>
      <c r="C12" t="inlineStr">
        <is>
          <t>Camarón</t>
        </is>
      </c>
      <c r="D12" t="inlineStr">
        <is>
          <t>Pesca</t>
        </is>
      </c>
      <c r="E12" t="inlineStr">
        <is>
          <t>España</t>
        </is>
      </c>
      <c r="F12" t="inlineStr">
        <is>
          <t>Iberia Seafood</t>
        </is>
      </c>
      <c r="G12" t="n">
        <v>6000</v>
      </c>
      <c r="H12" s="6" t="n">
        <v>7.35</v>
      </c>
      <c r="I12" t="inlineStr">
        <is>
          <t>CIF</t>
        </is>
      </c>
      <c r="J12" t="inlineStr">
        <is>
          <t>Carlos</t>
        </is>
      </c>
      <c r="K12" s="6">
        <f>G12*H12</f>
        <v/>
      </c>
      <c r="L12" s="7">
        <f>K12*37</f>
        <v/>
      </c>
    </row>
    <row r="13">
      <c r="A13" t="inlineStr">
        <is>
          <t>EXP001</t>
        </is>
      </c>
      <c r="B13" s="5" t="n">
        <v>46208</v>
      </c>
      <c r="C13" t="inlineStr">
        <is>
          <t>Café oro</t>
        </is>
      </c>
      <c r="D13" t="inlineStr">
        <is>
          <t>Café</t>
        </is>
      </c>
      <c r="E13" t="inlineStr">
        <is>
          <t>Estados Unidos</t>
        </is>
      </c>
      <c r="F13" t="inlineStr">
        <is>
          <t>Global Coffee Traders</t>
        </is>
      </c>
      <c r="G13" t="n">
        <v>5000</v>
      </c>
      <c r="H13" s="6" t="n">
        <v>6.2</v>
      </c>
      <c r="I13" t="inlineStr">
        <is>
          <t>FOB</t>
        </is>
      </c>
      <c r="J13" t="inlineStr">
        <is>
          <t>Ana</t>
        </is>
      </c>
      <c r="K13" s="6">
        <f>G13*H13</f>
        <v/>
      </c>
      <c r="L13" s="7">
        <f>K13*37</f>
        <v/>
      </c>
    </row>
    <row r="14">
      <c r="A14" t="inlineStr">
        <is>
          <t>EXP004</t>
        </is>
      </c>
      <c r="B14" s="5" t="n">
        <v>46218</v>
      </c>
      <c r="C14" t="inlineStr">
        <is>
          <t>Tabaco</t>
        </is>
      </c>
      <c r="D14" t="inlineStr">
        <is>
          <t>Manufactura</t>
        </is>
      </c>
      <c r="E14" t="inlineStr">
        <is>
          <t>Estados Unidos</t>
        </is>
      </c>
      <c r="F14" t="inlineStr">
        <is>
          <t>Premium Tobacco Inc.</t>
        </is>
      </c>
      <c r="G14" t="n">
        <v>2000</v>
      </c>
      <c r="H14" s="6" t="n">
        <v>9.5</v>
      </c>
      <c r="I14" t="inlineStr">
        <is>
          <t>FOB</t>
        </is>
      </c>
      <c r="J14" t="inlineStr">
        <is>
          <t>Ana</t>
        </is>
      </c>
      <c r="K14" s="6">
        <f>G14*H14</f>
        <v/>
      </c>
      <c r="L14" s="7">
        <f>K14*37</f>
        <v/>
      </c>
    </row>
    <row r="15">
      <c r="A15" t="inlineStr">
        <is>
          <t>EXP008</t>
        </is>
      </c>
      <c r="B15" s="5" t="n">
        <v>46236</v>
      </c>
      <c r="C15" t="inlineStr">
        <is>
          <t>Carne bovina</t>
        </is>
      </c>
      <c r="D15" t="inlineStr">
        <is>
          <t>Cárnicos</t>
        </is>
      </c>
      <c r="E15" t="inlineStr">
        <is>
          <t>Estados Unidos</t>
        </is>
      </c>
      <c r="F15" t="inlineStr">
        <is>
          <t>American Meat Corp.</t>
        </is>
      </c>
      <c r="G15" t="n">
        <v>10000</v>
      </c>
      <c r="H15" s="6" t="n">
        <v>5.1</v>
      </c>
      <c r="I15" t="inlineStr">
        <is>
          <t>CIF</t>
        </is>
      </c>
      <c r="J15" t="inlineStr">
        <is>
          <t>Carlos</t>
        </is>
      </c>
      <c r="K15" s="6">
        <f>G15*H15</f>
        <v/>
      </c>
      <c r="L15" s="7">
        <f>K15*37</f>
        <v/>
      </c>
    </row>
    <row r="16">
      <c r="A16" t="inlineStr">
        <is>
          <t>EXP013</t>
        </is>
      </c>
      <c r="B16" s="5" t="n">
        <v>46256</v>
      </c>
      <c r="C16" t="inlineStr">
        <is>
          <t>Café oro</t>
        </is>
      </c>
      <c r="D16" t="inlineStr">
        <is>
          <t>Café</t>
        </is>
      </c>
      <c r="E16" t="inlineStr">
        <is>
          <t>Estados Unidos</t>
        </is>
      </c>
      <c r="F16" t="inlineStr">
        <is>
          <t>Global Coffee Traders</t>
        </is>
      </c>
      <c r="G16" t="n">
        <v>7000</v>
      </c>
      <c r="H16" s="6" t="n">
        <v>6.35</v>
      </c>
      <c r="I16" t="inlineStr">
        <is>
          <t>FOB</t>
        </is>
      </c>
      <c r="J16" t="inlineStr">
        <is>
          <t>Ana</t>
        </is>
      </c>
      <c r="K16" s="6">
        <f>G16*H16</f>
        <v/>
      </c>
      <c r="L16" s="7">
        <f>K16*37</f>
        <v/>
      </c>
    </row>
    <row r="17">
      <c r="A17" t="inlineStr">
        <is>
          <t>EXP005</t>
        </is>
      </c>
      <c r="B17" s="5" t="n">
        <v>46222</v>
      </c>
      <c r="C17" t="inlineStr">
        <is>
          <t>Azúcar</t>
        </is>
      </c>
      <c r="D17" t="inlineStr">
        <is>
          <t>Agroindustria</t>
        </is>
      </c>
      <c r="E17" t="inlineStr">
        <is>
          <t>Guatemala</t>
        </is>
      </c>
      <c r="F17" t="inlineStr">
        <is>
          <t>Central Foods</t>
        </is>
      </c>
      <c r="G17" t="n">
        <v>12000</v>
      </c>
      <c r="H17" s="6" t="n">
        <v>0.85</v>
      </c>
      <c r="I17" t="inlineStr">
        <is>
          <t>CIF</t>
        </is>
      </c>
      <c r="J17" t="inlineStr">
        <is>
          <t>Carlos</t>
        </is>
      </c>
      <c r="K17" s="6">
        <f>G17*H17</f>
        <v/>
      </c>
      <c r="L17" s="7">
        <f>K17*37</f>
        <v/>
      </c>
    </row>
    <row r="18">
      <c r="A18" t="inlineStr">
        <is>
          <t>EXP015</t>
        </is>
      </c>
      <c r="B18" s="5" t="n">
        <v>46264</v>
      </c>
      <c r="C18" t="inlineStr">
        <is>
          <t>Azúcar</t>
        </is>
      </c>
      <c r="D18" t="inlineStr">
        <is>
          <t>Agroindustria</t>
        </is>
      </c>
      <c r="E18" t="inlineStr">
        <is>
          <t>Honduras</t>
        </is>
      </c>
      <c r="F18" t="inlineStr">
        <is>
          <t>Honduran Foods</t>
        </is>
      </c>
      <c r="G18" t="n">
        <v>15000</v>
      </c>
      <c r="H18" s="6" t="n">
        <v>0.82</v>
      </c>
      <c r="I18" t="inlineStr">
        <is>
          <t>CIF</t>
        </is>
      </c>
      <c r="J18" t="inlineStr">
        <is>
          <t>María</t>
        </is>
      </c>
      <c r="K18" s="6">
        <f>G18*H18</f>
        <v/>
      </c>
      <c r="L18" s="7">
        <f>K18*37</f>
        <v/>
      </c>
    </row>
    <row r="19">
      <c r="A19" t="inlineStr">
        <is>
          <t>EXP009</t>
        </is>
      </c>
      <c r="B19" s="5" t="n">
        <v>46240</v>
      </c>
      <c r="C19" t="inlineStr">
        <is>
          <t>Ajonjolí</t>
        </is>
      </c>
      <c r="D19" t="inlineStr">
        <is>
          <t>Granos</t>
        </is>
      </c>
      <c r="E19" t="inlineStr">
        <is>
          <t>Japón</t>
        </is>
      </c>
      <c r="F19" t="inlineStr">
        <is>
          <t>Nippon Foods</t>
        </is>
      </c>
      <c r="G19" t="n">
        <v>4000</v>
      </c>
      <c r="H19" s="6" t="n">
        <v>2.9</v>
      </c>
      <c r="I19" t="inlineStr">
        <is>
          <t>FOB</t>
        </is>
      </c>
      <c r="J19" t="inlineStr">
        <is>
          <t>María</t>
        </is>
      </c>
      <c r="K19" s="6">
        <f>G19*H19</f>
        <v/>
      </c>
      <c r="L19" s="7">
        <f>K19*37</f>
        <v/>
      </c>
    </row>
    <row r="20">
      <c r="A20" t="inlineStr">
        <is>
          <t>EXP017</t>
        </is>
      </c>
      <c r="B20" s="5" t="n">
        <v>46272</v>
      </c>
      <c r="C20" t="inlineStr">
        <is>
          <t>Ajonjolí</t>
        </is>
      </c>
      <c r="D20" t="inlineStr">
        <is>
          <t>Granos</t>
        </is>
      </c>
      <c r="E20" t="inlineStr">
        <is>
          <t>Japón</t>
        </is>
      </c>
      <c r="F20" t="inlineStr">
        <is>
          <t>Nippon Foods</t>
        </is>
      </c>
      <c r="G20" t="n">
        <v>5000</v>
      </c>
      <c r="H20" s="6" t="n">
        <v>3.05</v>
      </c>
      <c r="I20" t="inlineStr">
        <is>
          <t>FOB</t>
        </is>
      </c>
      <c r="J20" t="inlineStr">
        <is>
          <t>Carlos</t>
        </is>
      </c>
      <c r="K20" s="6">
        <f>G20*H20</f>
        <v/>
      </c>
      <c r="L20" s="7">
        <f>K20*37</f>
        <v/>
      </c>
    </row>
    <row r="21">
      <c r="A21" t="inlineStr">
        <is>
          <t>EXP003</t>
        </is>
      </c>
      <c r="B21" s="5" t="n">
        <v>46215</v>
      </c>
      <c r="C21" t="inlineStr">
        <is>
          <t>Maní</t>
        </is>
      </c>
      <c r="D21" t="inlineStr">
        <is>
          <t>Granos</t>
        </is>
      </c>
      <c r="E21" t="inlineStr">
        <is>
          <t>México</t>
        </is>
      </c>
      <c r="F21" t="inlineStr">
        <is>
          <t>Comercializadora Azteca</t>
        </is>
      </c>
      <c r="G21" t="n">
        <v>8000</v>
      </c>
      <c r="H21" s="6" t="n">
        <v>1.65</v>
      </c>
      <c r="I21" t="inlineStr">
        <is>
          <t>CIF</t>
        </is>
      </c>
      <c r="J21" t="inlineStr">
        <is>
          <t>María</t>
        </is>
      </c>
      <c r="K21" s="6">
        <f>G21*H21</f>
        <v/>
      </c>
      <c r="L21" s="7">
        <f>K21*37</f>
        <v/>
      </c>
    </row>
    <row r="22">
      <c r="A22" t="inlineStr">
        <is>
          <t>EXP014</t>
        </is>
      </c>
      <c r="B22" s="5" t="n">
        <v>46260</v>
      </c>
      <c r="C22" t="inlineStr">
        <is>
          <t>Camarón</t>
        </is>
      </c>
      <c r="D22" t="inlineStr">
        <is>
          <t>Pesca</t>
        </is>
      </c>
      <c r="E22" t="inlineStr">
        <is>
          <t>México</t>
        </is>
      </c>
      <c r="F22" t="inlineStr">
        <is>
          <t>Pacific Seafood MX</t>
        </is>
      </c>
      <c r="G22" t="n">
        <v>5000</v>
      </c>
      <c r="H22" s="6" t="n">
        <v>7</v>
      </c>
      <c r="I22" t="inlineStr">
        <is>
          <t>CIF</t>
        </is>
      </c>
      <c r="J22" t="inlineStr">
        <is>
          <t>Carlos</t>
        </is>
      </c>
      <c r="K22" s="6">
        <f>G22*H22</f>
        <v/>
      </c>
      <c r="L22" s="7">
        <f>K22*37</f>
        <v/>
      </c>
    </row>
    <row r="23">
      <c r="A23" t="inlineStr">
        <is>
          <t>EXP010</t>
        </is>
      </c>
      <c r="B23" s="5" t="n">
        <v>46244</v>
      </c>
      <c r="C23" t="inlineStr">
        <is>
          <t>Cacao en grano</t>
        </is>
      </c>
      <c r="D23" t="inlineStr">
        <is>
          <t>Cacao</t>
        </is>
      </c>
      <c r="E23" t="inlineStr">
        <is>
          <t>Países Bajos</t>
        </is>
      </c>
      <c r="F23" t="inlineStr">
        <is>
          <t>Dutch Cocoa Trading</t>
        </is>
      </c>
      <c r="G23" t="n">
        <v>5500</v>
      </c>
      <c r="H23" s="6" t="n">
        <v>4.95</v>
      </c>
      <c r="I23" t="inlineStr">
        <is>
          <t>FOB</t>
        </is>
      </c>
      <c r="J23" t="inlineStr">
        <is>
          <t>Ana</t>
        </is>
      </c>
      <c r="K23" s="6">
        <f>G23*H23</f>
        <v/>
      </c>
      <c r="L23" s="7">
        <f>K23*37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D. Orden por producto: alfabético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EXP009</t>
        </is>
      </c>
      <c r="B4" s="5" t="n">
        <v>46240</v>
      </c>
      <c r="C4" t="inlineStr">
        <is>
          <t>Ajonjolí</t>
        </is>
      </c>
      <c r="D4" t="inlineStr">
        <is>
          <t>Granos</t>
        </is>
      </c>
      <c r="E4" t="inlineStr">
        <is>
          <t>Japón</t>
        </is>
      </c>
      <c r="F4" t="inlineStr">
        <is>
          <t>Nippon Foods</t>
        </is>
      </c>
      <c r="G4" t="n">
        <v>4000</v>
      </c>
      <c r="H4" s="6" t="n">
        <v>2.9</v>
      </c>
      <c r="I4" t="inlineStr">
        <is>
          <t>FOB</t>
        </is>
      </c>
      <c r="J4" t="inlineStr">
        <is>
          <t>María</t>
        </is>
      </c>
      <c r="K4" s="6">
        <f>G4*H4</f>
        <v/>
      </c>
      <c r="L4" s="7">
        <f>K4*37</f>
        <v/>
      </c>
    </row>
    <row r="5">
      <c r="A5" t="inlineStr">
        <is>
          <t>EXP017</t>
        </is>
      </c>
      <c r="B5" s="5" t="n">
        <v>46272</v>
      </c>
      <c r="C5" t="inlineStr">
        <is>
          <t>Ajonjolí</t>
        </is>
      </c>
      <c r="D5" t="inlineStr">
        <is>
          <t>Granos</t>
        </is>
      </c>
      <c r="E5" t="inlineStr">
        <is>
          <t>Japón</t>
        </is>
      </c>
      <c r="F5" t="inlineStr">
        <is>
          <t>Nippon Foods</t>
        </is>
      </c>
      <c r="G5" t="n">
        <v>5000</v>
      </c>
      <c r="H5" s="6" t="n">
        <v>3.05</v>
      </c>
      <c r="I5" t="inlineStr">
        <is>
          <t>FOB</t>
        </is>
      </c>
      <c r="J5" t="inlineStr">
        <is>
          <t>Carlos</t>
        </is>
      </c>
      <c r="K5" s="6">
        <f>G5*H5</f>
        <v/>
      </c>
      <c r="L5" s="7">
        <f>K5*37</f>
        <v/>
      </c>
    </row>
    <row r="6">
      <c r="A6" t="inlineStr">
        <is>
          <t>EXP005</t>
        </is>
      </c>
      <c r="B6" s="5" t="n">
        <v>46222</v>
      </c>
      <c r="C6" t="inlineStr">
        <is>
          <t>Azúcar</t>
        </is>
      </c>
      <c r="D6" t="inlineStr">
        <is>
          <t>Agroindustria</t>
        </is>
      </c>
      <c r="E6" t="inlineStr">
        <is>
          <t>Guatemala</t>
        </is>
      </c>
      <c r="F6" t="inlineStr">
        <is>
          <t>Central Foods</t>
        </is>
      </c>
      <c r="G6" t="n">
        <v>12000</v>
      </c>
      <c r="H6" s="6" t="n">
        <v>0.85</v>
      </c>
      <c r="I6" t="inlineStr">
        <is>
          <t>CIF</t>
        </is>
      </c>
      <c r="J6" t="inlineStr">
        <is>
          <t>Carlos</t>
        </is>
      </c>
      <c r="K6" s="6">
        <f>G6*H6</f>
        <v/>
      </c>
      <c r="L6" s="7">
        <f>K6*37</f>
        <v/>
      </c>
    </row>
    <row r="7">
      <c r="A7" t="inlineStr">
        <is>
          <t>EXP015</t>
        </is>
      </c>
      <c r="B7" s="5" t="n">
        <v>46264</v>
      </c>
      <c r="C7" t="inlineStr">
        <is>
          <t>Azúcar</t>
        </is>
      </c>
      <c r="D7" t="inlineStr">
        <is>
          <t>Agroindustria</t>
        </is>
      </c>
      <c r="E7" t="inlineStr">
        <is>
          <t>Honduras</t>
        </is>
      </c>
      <c r="F7" t="inlineStr">
        <is>
          <t>Honduran Foods</t>
        </is>
      </c>
      <c r="G7" t="n">
        <v>15000</v>
      </c>
      <c r="H7" s="6" t="n">
        <v>0.82</v>
      </c>
      <c r="I7" t="inlineStr">
        <is>
          <t>CIF</t>
        </is>
      </c>
      <c r="J7" t="inlineStr">
        <is>
          <t>María</t>
        </is>
      </c>
      <c r="K7" s="6">
        <f>G7*H7</f>
        <v/>
      </c>
      <c r="L7" s="7">
        <f>K7*37</f>
        <v/>
      </c>
    </row>
    <row r="8">
      <c r="A8" t="inlineStr">
        <is>
          <t>EXP002</t>
        </is>
      </c>
      <c r="B8" s="5" t="n">
        <v>46211</v>
      </c>
      <c r="C8" t="inlineStr">
        <is>
          <t>Cacao en grano</t>
        </is>
      </c>
      <c r="D8" t="inlineStr">
        <is>
          <t>Cacao</t>
        </is>
      </c>
      <c r="E8" t="inlineStr">
        <is>
          <t>Alemania</t>
        </is>
      </c>
      <c r="F8" t="inlineStr">
        <is>
          <t>Euro Cocoa GmbH</t>
        </is>
      </c>
      <c r="G8" t="n">
        <v>3500</v>
      </c>
      <c r="H8" s="6" t="n">
        <v>4.8</v>
      </c>
      <c r="I8" t="inlineStr">
        <is>
          <t>FOB</t>
        </is>
      </c>
      <c r="J8" t="inlineStr">
        <is>
          <t>Carlos</t>
        </is>
      </c>
      <c r="K8" s="6">
        <f>G8*H8</f>
        <v/>
      </c>
      <c r="L8" s="7">
        <f>K8*37</f>
        <v/>
      </c>
    </row>
    <row r="9">
      <c r="A9" t="inlineStr">
        <is>
          <t>EXP010</t>
        </is>
      </c>
      <c r="B9" s="5" t="n">
        <v>46244</v>
      </c>
      <c r="C9" t="inlineStr">
        <is>
          <t>Cacao en grano</t>
        </is>
      </c>
      <c r="D9" t="inlineStr">
        <is>
          <t>Cacao</t>
        </is>
      </c>
      <c r="E9" t="inlineStr">
        <is>
          <t>Países Bajos</t>
        </is>
      </c>
      <c r="F9" t="inlineStr">
        <is>
          <t>Dutch Cocoa Trading</t>
        </is>
      </c>
      <c r="G9" t="n">
        <v>5500</v>
      </c>
      <c r="H9" s="6" t="n">
        <v>4.95</v>
      </c>
      <c r="I9" t="inlineStr">
        <is>
          <t>FOB</t>
        </is>
      </c>
      <c r="J9" t="inlineStr">
        <is>
          <t>Ana</t>
        </is>
      </c>
      <c r="K9" s="6">
        <f>G9*H9</f>
        <v/>
      </c>
      <c r="L9" s="7">
        <f>K9*37</f>
        <v/>
      </c>
    </row>
    <row r="10">
      <c r="A10" t="inlineStr">
        <is>
          <t>EXP018</t>
        </is>
      </c>
      <c r="B10" s="5" t="n">
        <v>46276</v>
      </c>
      <c r="C10" t="inlineStr">
        <is>
          <t>Cacao en grano</t>
        </is>
      </c>
      <c r="D10" t="inlineStr">
        <is>
          <t>Cacao</t>
        </is>
      </c>
      <c r="E10" t="inlineStr">
        <is>
          <t>Alemania</t>
        </is>
      </c>
      <c r="F10" t="inlineStr">
        <is>
          <t>Euro Cocoa GmbH</t>
        </is>
      </c>
      <c r="G10" t="n">
        <v>4500</v>
      </c>
      <c r="H10" s="6" t="n">
        <v>5.1</v>
      </c>
      <c r="I10" t="inlineStr">
        <is>
          <t>FOB</t>
        </is>
      </c>
      <c r="J10" t="inlineStr">
        <is>
          <t>María</t>
        </is>
      </c>
      <c r="K10" s="6">
        <f>G10*H10</f>
        <v/>
      </c>
      <c r="L10" s="7">
        <f>K10*37</f>
        <v/>
      </c>
    </row>
    <row r="11">
      <c r="A11" t="inlineStr">
        <is>
          <t>EXP001</t>
        </is>
      </c>
      <c r="B11" s="5" t="n">
        <v>46208</v>
      </c>
      <c r="C11" t="inlineStr">
        <is>
          <t>Café oro</t>
        </is>
      </c>
      <c r="D11" t="inlineStr">
        <is>
          <t>Café</t>
        </is>
      </c>
      <c r="E11" t="inlineStr">
        <is>
          <t>Estados Unidos</t>
        </is>
      </c>
      <c r="F11" t="inlineStr">
        <is>
          <t>Global Coffee Traders</t>
        </is>
      </c>
      <c r="G11" t="n">
        <v>5000</v>
      </c>
      <c r="H11" s="6" t="n">
        <v>6.2</v>
      </c>
      <c r="I11" t="inlineStr">
        <is>
          <t>FOB</t>
        </is>
      </c>
      <c r="J11" t="inlineStr">
        <is>
          <t>Ana</t>
        </is>
      </c>
      <c r="K11" s="6">
        <f>G11*H11</f>
        <v/>
      </c>
      <c r="L11" s="7">
        <f>K11*37</f>
        <v/>
      </c>
    </row>
    <row r="12">
      <c r="A12" t="inlineStr">
        <is>
          <t>EXP007</t>
        </is>
      </c>
      <c r="B12" s="5" t="n">
        <v>46230</v>
      </c>
      <c r="C12" t="inlineStr">
        <is>
          <t>Café oro</t>
        </is>
      </c>
      <c r="D12" t="inlineStr">
        <is>
          <t>Café</t>
        </is>
      </c>
      <c r="E12" t="inlineStr">
        <is>
          <t>Bélgica</t>
        </is>
      </c>
      <c r="F12" t="inlineStr">
        <is>
          <t>Belgian Coffee House</t>
        </is>
      </c>
      <c r="G12" t="n">
        <v>6000</v>
      </c>
      <c r="H12" s="6" t="n">
        <v>6.4</v>
      </c>
      <c r="I12" t="inlineStr">
        <is>
          <t>FOB</t>
        </is>
      </c>
      <c r="J12" t="inlineStr">
        <is>
          <t>Ana</t>
        </is>
      </c>
      <c r="K12" s="6">
        <f>G12*H12</f>
        <v/>
      </c>
      <c r="L12" s="7">
        <f>K12*37</f>
        <v/>
      </c>
    </row>
    <row r="13">
      <c r="A13" t="inlineStr">
        <is>
          <t>EXP013</t>
        </is>
      </c>
      <c r="B13" s="5" t="n">
        <v>46256</v>
      </c>
      <c r="C13" t="inlineStr">
        <is>
          <t>Café oro</t>
        </is>
      </c>
      <c r="D13" t="inlineStr">
        <is>
          <t>Café</t>
        </is>
      </c>
      <c r="E13" t="inlineStr">
        <is>
          <t>Estados Unidos</t>
        </is>
      </c>
      <c r="F13" t="inlineStr">
        <is>
          <t>Global Coffee Traders</t>
        </is>
      </c>
      <c r="G13" t="n">
        <v>7000</v>
      </c>
      <c r="H13" s="6" t="n">
        <v>6.35</v>
      </c>
      <c r="I13" t="inlineStr">
        <is>
          <t>FOB</t>
        </is>
      </c>
      <c r="J13" t="inlineStr">
        <is>
          <t>Ana</t>
        </is>
      </c>
      <c r="K13" s="6">
        <f>G13*H13</f>
        <v/>
      </c>
      <c r="L13" s="7">
        <f>K13*37</f>
        <v/>
      </c>
    </row>
    <row r="14">
      <c r="A14" t="inlineStr">
        <is>
          <t>EXP019</t>
        </is>
      </c>
      <c r="B14" s="5" t="n">
        <v>46280</v>
      </c>
      <c r="C14" t="inlineStr">
        <is>
          <t>Café oro</t>
        </is>
      </c>
      <c r="D14" t="inlineStr">
        <is>
          <t>Café</t>
        </is>
      </c>
      <c r="E14" t="inlineStr">
        <is>
          <t>Alemania</t>
        </is>
      </c>
      <c r="F14" t="inlineStr">
        <is>
          <t>German Coffee Import</t>
        </is>
      </c>
      <c r="G14" t="n">
        <v>6500</v>
      </c>
      <c r="H14" s="6" t="n">
        <v>6.5</v>
      </c>
      <c r="I14" t="inlineStr">
        <is>
          <t>FOB</t>
        </is>
      </c>
      <c r="J14" t="inlineStr">
        <is>
          <t>Ana</t>
        </is>
      </c>
      <c r="K14" s="6">
        <f>G14*H14</f>
        <v/>
      </c>
      <c r="L14" s="7">
        <f>K14*37</f>
        <v/>
      </c>
    </row>
    <row r="15">
      <c r="A15" t="inlineStr">
        <is>
          <t>EXP006</t>
        </is>
      </c>
      <c r="B15" s="5" t="n">
        <v>46226</v>
      </c>
      <c r="C15" t="inlineStr">
        <is>
          <t>Camarón</t>
        </is>
      </c>
      <c r="D15" t="inlineStr">
        <is>
          <t>Pesca</t>
        </is>
      </c>
      <c r="E15" t="inlineStr">
        <is>
          <t>España</t>
        </is>
      </c>
      <c r="F15" t="inlineStr">
        <is>
          <t>Iberia Seafood</t>
        </is>
      </c>
      <c r="G15" t="n">
        <v>4500</v>
      </c>
      <c r="H15" s="6" t="n">
        <v>7.2</v>
      </c>
      <c r="I15" t="inlineStr">
        <is>
          <t>CIF</t>
        </is>
      </c>
      <c r="J15" t="inlineStr">
        <is>
          <t>María</t>
        </is>
      </c>
      <c r="K15" s="6">
        <f>G15*H15</f>
        <v/>
      </c>
      <c r="L15" s="7">
        <f>K15*37</f>
        <v/>
      </c>
    </row>
    <row r="16">
      <c r="A16" t="inlineStr">
        <is>
          <t>EXP014</t>
        </is>
      </c>
      <c r="B16" s="5" t="n">
        <v>46260</v>
      </c>
      <c r="C16" t="inlineStr">
        <is>
          <t>Camarón</t>
        </is>
      </c>
      <c r="D16" t="inlineStr">
        <is>
          <t>Pesca</t>
        </is>
      </c>
      <c r="E16" t="inlineStr">
        <is>
          <t>México</t>
        </is>
      </c>
      <c r="F16" t="inlineStr">
        <is>
          <t>Pacific Seafood MX</t>
        </is>
      </c>
      <c r="G16" t="n">
        <v>5000</v>
      </c>
      <c r="H16" s="6" t="n">
        <v>7</v>
      </c>
      <c r="I16" t="inlineStr">
        <is>
          <t>CIF</t>
        </is>
      </c>
      <c r="J16" t="inlineStr">
        <is>
          <t>Carlos</t>
        </is>
      </c>
      <c r="K16" s="6">
        <f>G16*H16</f>
        <v/>
      </c>
      <c r="L16" s="7">
        <f>K16*37</f>
        <v/>
      </c>
    </row>
    <row r="17">
      <c r="A17" t="inlineStr">
        <is>
          <t>EXP020</t>
        </is>
      </c>
      <c r="B17" s="5" t="n">
        <v>46285</v>
      </c>
      <c r="C17" t="inlineStr">
        <is>
          <t>Camarón</t>
        </is>
      </c>
      <c r="D17" t="inlineStr">
        <is>
          <t>Pesca</t>
        </is>
      </c>
      <c r="E17" t="inlineStr">
        <is>
          <t>España</t>
        </is>
      </c>
      <c r="F17" t="inlineStr">
        <is>
          <t>Iberia Seafood</t>
        </is>
      </c>
      <c r="G17" t="n">
        <v>6000</v>
      </c>
      <c r="H17" s="6" t="n">
        <v>7.35</v>
      </c>
      <c r="I17" t="inlineStr">
        <is>
          <t>CIF</t>
        </is>
      </c>
      <c r="J17" t="inlineStr">
        <is>
          <t>Carlos</t>
        </is>
      </c>
      <c r="K17" s="6">
        <f>G17*H17</f>
        <v/>
      </c>
      <c r="L17" s="7">
        <f>K17*37</f>
        <v/>
      </c>
    </row>
    <row r="18">
      <c r="A18" t="inlineStr">
        <is>
          <t>EXP008</t>
        </is>
      </c>
      <c r="B18" s="5" t="n">
        <v>46236</v>
      </c>
      <c r="C18" t="inlineStr">
        <is>
          <t>Carne bovina</t>
        </is>
      </c>
      <c r="D18" t="inlineStr">
        <is>
          <t>Cárnicos</t>
        </is>
      </c>
      <c r="E18" t="inlineStr">
        <is>
          <t>Estados Unidos</t>
        </is>
      </c>
      <c r="F18" t="inlineStr">
        <is>
          <t>American Meat Corp.</t>
        </is>
      </c>
      <c r="G18" t="n">
        <v>10000</v>
      </c>
      <c r="H18" s="6" t="n">
        <v>5.1</v>
      </c>
      <c r="I18" t="inlineStr">
        <is>
          <t>CIF</t>
        </is>
      </c>
      <c r="J18" t="inlineStr">
        <is>
          <t>Carlos</t>
        </is>
      </c>
      <c r="K18" s="6">
        <f>G18*H18</f>
        <v/>
      </c>
      <c r="L18" s="7">
        <f>K18*37</f>
        <v/>
      </c>
    </row>
    <row r="19">
      <c r="A19" t="inlineStr">
        <is>
          <t>EXP016</t>
        </is>
      </c>
      <c r="B19" s="5" t="n">
        <v>46268</v>
      </c>
      <c r="C19" t="inlineStr">
        <is>
          <t>Carne bovina</t>
        </is>
      </c>
      <c r="D19" t="inlineStr">
        <is>
          <t>Cárnicos</t>
        </is>
      </c>
      <c r="E19" t="inlineStr">
        <is>
          <t>El Salvador</t>
        </is>
      </c>
      <c r="F19" t="inlineStr">
        <is>
          <t>Salvador Meat Importers</t>
        </is>
      </c>
      <c r="G19" t="n">
        <v>8000</v>
      </c>
      <c r="H19" s="6" t="n">
        <v>5</v>
      </c>
      <c r="I19" t="inlineStr">
        <is>
          <t>CIF</t>
        </is>
      </c>
      <c r="J19" t="inlineStr">
        <is>
          <t>Ana</t>
        </is>
      </c>
      <c r="K19" s="6">
        <f>G19*H19</f>
        <v/>
      </c>
      <c r="L19" s="7">
        <f>K19*37</f>
        <v/>
      </c>
    </row>
    <row r="20">
      <c r="A20" t="inlineStr">
        <is>
          <t>EXP003</t>
        </is>
      </c>
      <c r="B20" s="5" t="n">
        <v>46215</v>
      </c>
      <c r="C20" t="inlineStr">
        <is>
          <t>Maní</t>
        </is>
      </c>
      <c r="D20" t="inlineStr">
        <is>
          <t>Granos</t>
        </is>
      </c>
      <c r="E20" t="inlineStr">
        <is>
          <t>México</t>
        </is>
      </c>
      <c r="F20" t="inlineStr">
        <is>
          <t>Comercializadora Azteca</t>
        </is>
      </c>
      <c r="G20" t="n">
        <v>8000</v>
      </c>
      <c r="H20" s="6" t="n">
        <v>1.65</v>
      </c>
      <c r="I20" t="inlineStr">
        <is>
          <t>CIF</t>
        </is>
      </c>
      <c r="J20" t="inlineStr">
        <is>
          <t>María</t>
        </is>
      </c>
      <c r="K20" s="6">
        <f>G20*H20</f>
        <v/>
      </c>
      <c r="L20" s="7">
        <f>K20*37</f>
        <v/>
      </c>
    </row>
    <row r="21">
      <c r="A21" t="inlineStr">
        <is>
          <t>EXP011</t>
        </is>
      </c>
      <c r="B21" s="5" t="n">
        <v>46248</v>
      </c>
      <c r="C21" t="inlineStr">
        <is>
          <t>Maní</t>
        </is>
      </c>
      <c r="D21" t="inlineStr">
        <is>
          <t>Granos</t>
        </is>
      </c>
      <c r="E21" t="inlineStr">
        <is>
          <t>Canadá</t>
        </is>
      </c>
      <c r="F21" t="inlineStr">
        <is>
          <t>Canadian Foods Ltd.</t>
        </is>
      </c>
      <c r="G21" t="n">
        <v>7500</v>
      </c>
      <c r="H21" s="6" t="n">
        <v>1.75</v>
      </c>
      <c r="I21" t="inlineStr">
        <is>
          <t>CIF</t>
        </is>
      </c>
      <c r="J21" t="inlineStr">
        <is>
          <t>Carlos</t>
        </is>
      </c>
      <c r="K21" s="6">
        <f>G21*H21</f>
        <v/>
      </c>
      <c r="L21" s="7">
        <f>K21*37</f>
        <v/>
      </c>
    </row>
    <row r="22">
      <c r="A22" t="inlineStr">
        <is>
          <t>EXP004</t>
        </is>
      </c>
      <c r="B22" s="5" t="n">
        <v>46218</v>
      </c>
      <c r="C22" t="inlineStr">
        <is>
          <t>Tabaco</t>
        </is>
      </c>
      <c r="D22" t="inlineStr">
        <is>
          <t>Manufactura</t>
        </is>
      </c>
      <c r="E22" t="inlineStr">
        <is>
          <t>Estados Unidos</t>
        </is>
      </c>
      <c r="F22" t="inlineStr">
        <is>
          <t>Premium Tobacco Inc.</t>
        </is>
      </c>
      <c r="G22" t="n">
        <v>2000</v>
      </c>
      <c r="H22" s="6" t="n">
        <v>9.5</v>
      </c>
      <c r="I22" t="inlineStr">
        <is>
          <t>FOB</t>
        </is>
      </c>
      <c r="J22" t="inlineStr">
        <is>
          <t>Ana</t>
        </is>
      </c>
      <c r="K22" s="6">
        <f>G22*H22</f>
        <v/>
      </c>
      <c r="L22" s="7">
        <f>K22*37</f>
        <v/>
      </c>
    </row>
    <row r="23">
      <c r="A23" t="inlineStr">
        <is>
          <t>EXP012</t>
        </is>
      </c>
      <c r="B23" s="5" t="n">
        <v>46252</v>
      </c>
      <c r="C23" t="inlineStr">
        <is>
          <t>Tabaco</t>
        </is>
      </c>
      <c r="D23" t="inlineStr">
        <is>
          <t>Manufactura</t>
        </is>
      </c>
      <c r="E23" t="inlineStr">
        <is>
          <t>España</t>
        </is>
      </c>
      <c r="F23" t="inlineStr">
        <is>
          <t>Iberian Tobacco</t>
        </is>
      </c>
      <c r="G23" t="n">
        <v>2500</v>
      </c>
      <c r="H23" s="6" t="n">
        <v>9.199999999999999</v>
      </c>
      <c r="I23" t="inlineStr">
        <is>
          <t>FOB</t>
        </is>
      </c>
      <c r="J23" t="inlineStr">
        <is>
          <t>María</t>
        </is>
      </c>
      <c r="K23" s="6">
        <f>G23*H23</f>
        <v/>
      </c>
      <c r="L23" s="7">
        <f>K23*37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Filtro 1: Estados Unidos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EXP001</t>
        </is>
      </c>
      <c r="B4" s="5" t="n">
        <v>46208</v>
      </c>
      <c r="C4" t="inlineStr">
        <is>
          <t>Café oro</t>
        </is>
      </c>
      <c r="D4" t="inlineStr">
        <is>
          <t>Café</t>
        </is>
      </c>
      <c r="E4" t="inlineStr">
        <is>
          <t>Estados Unidos</t>
        </is>
      </c>
      <c r="F4" t="inlineStr">
        <is>
          <t>Global Coffee Traders</t>
        </is>
      </c>
      <c r="G4" t="n">
        <v>5000</v>
      </c>
      <c r="H4" s="6" t="n">
        <v>6.2</v>
      </c>
      <c r="I4" t="inlineStr">
        <is>
          <t>FOB</t>
        </is>
      </c>
      <c r="J4" t="inlineStr">
        <is>
          <t>Ana</t>
        </is>
      </c>
      <c r="K4" s="6">
        <f>G4*H4</f>
        <v/>
      </c>
      <c r="L4" s="7">
        <f>K4*37</f>
        <v/>
      </c>
    </row>
    <row r="5">
      <c r="A5" t="inlineStr">
        <is>
          <t>EXP004</t>
        </is>
      </c>
      <c r="B5" s="5" t="n">
        <v>46218</v>
      </c>
      <c r="C5" t="inlineStr">
        <is>
          <t>Tabaco</t>
        </is>
      </c>
      <c r="D5" t="inlineStr">
        <is>
          <t>Manufactura</t>
        </is>
      </c>
      <c r="E5" t="inlineStr">
        <is>
          <t>Estados Unidos</t>
        </is>
      </c>
      <c r="F5" t="inlineStr">
        <is>
          <t>Premium Tobacco Inc.</t>
        </is>
      </c>
      <c r="G5" t="n">
        <v>2000</v>
      </c>
      <c r="H5" s="6" t="n">
        <v>9.5</v>
      </c>
      <c r="I5" t="inlineStr">
        <is>
          <t>FOB</t>
        </is>
      </c>
      <c r="J5" t="inlineStr">
        <is>
          <t>Ana</t>
        </is>
      </c>
      <c r="K5" s="6">
        <f>G5*H5</f>
        <v/>
      </c>
      <c r="L5" s="7">
        <f>K5*37</f>
        <v/>
      </c>
    </row>
    <row r="6">
      <c r="A6" t="inlineStr">
        <is>
          <t>EXP008</t>
        </is>
      </c>
      <c r="B6" s="5" t="n">
        <v>46236</v>
      </c>
      <c r="C6" t="inlineStr">
        <is>
          <t>Carne bovina</t>
        </is>
      </c>
      <c r="D6" t="inlineStr">
        <is>
          <t>Cárnicos</t>
        </is>
      </c>
      <c r="E6" t="inlineStr">
        <is>
          <t>Estados Unidos</t>
        </is>
      </c>
      <c r="F6" t="inlineStr">
        <is>
          <t>American Meat Corp.</t>
        </is>
      </c>
      <c r="G6" t="n">
        <v>10000</v>
      </c>
      <c r="H6" s="6" t="n">
        <v>5.1</v>
      </c>
      <c r="I6" t="inlineStr">
        <is>
          <t>CIF</t>
        </is>
      </c>
      <c r="J6" t="inlineStr">
        <is>
          <t>Carlos</t>
        </is>
      </c>
      <c r="K6" s="6">
        <f>G6*H6</f>
        <v/>
      </c>
      <c r="L6" s="7">
        <f>K6*37</f>
        <v/>
      </c>
    </row>
    <row r="7">
      <c r="A7" t="inlineStr">
        <is>
          <t>EXP013</t>
        </is>
      </c>
      <c r="B7" s="5" t="n">
        <v>46256</v>
      </c>
      <c r="C7" t="inlineStr">
        <is>
          <t>Café oro</t>
        </is>
      </c>
      <c r="D7" t="inlineStr">
        <is>
          <t>Café</t>
        </is>
      </c>
      <c r="E7" t="inlineStr">
        <is>
          <t>Estados Unidos</t>
        </is>
      </c>
      <c r="F7" t="inlineStr">
        <is>
          <t>Global Coffee Traders</t>
        </is>
      </c>
      <c r="G7" t="n">
        <v>7000</v>
      </c>
      <c r="H7" s="6" t="n">
        <v>6.35</v>
      </c>
      <c r="I7" t="inlineStr">
        <is>
          <t>FOB</t>
        </is>
      </c>
      <c r="J7" t="inlineStr">
        <is>
          <t>Ana</t>
        </is>
      </c>
      <c r="K7" s="6">
        <f>G7*H7</f>
        <v/>
      </c>
      <c r="L7" s="7">
        <f>K7*37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Filtro 2: Café oro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EXP001</t>
        </is>
      </c>
      <c r="B4" s="5" t="n">
        <v>46208</v>
      </c>
      <c r="C4" t="inlineStr">
        <is>
          <t>Café oro</t>
        </is>
      </c>
      <c r="D4" t="inlineStr">
        <is>
          <t>Café</t>
        </is>
      </c>
      <c r="E4" t="inlineStr">
        <is>
          <t>Estados Unidos</t>
        </is>
      </c>
      <c r="F4" t="inlineStr">
        <is>
          <t>Global Coffee Traders</t>
        </is>
      </c>
      <c r="G4" t="n">
        <v>5000</v>
      </c>
      <c r="H4" s="6" t="n">
        <v>6.2</v>
      </c>
      <c r="I4" t="inlineStr">
        <is>
          <t>FOB</t>
        </is>
      </c>
      <c r="J4" t="inlineStr">
        <is>
          <t>Ana</t>
        </is>
      </c>
      <c r="K4" s="6">
        <f>G4*H4</f>
        <v/>
      </c>
      <c r="L4" s="7">
        <f>K4*37</f>
        <v/>
      </c>
    </row>
    <row r="5">
      <c r="A5" t="inlineStr">
        <is>
          <t>EXP007</t>
        </is>
      </c>
      <c r="B5" s="5" t="n">
        <v>46230</v>
      </c>
      <c r="C5" t="inlineStr">
        <is>
          <t>Café oro</t>
        </is>
      </c>
      <c r="D5" t="inlineStr">
        <is>
          <t>Café</t>
        </is>
      </c>
      <c r="E5" t="inlineStr">
        <is>
          <t>Bélgica</t>
        </is>
      </c>
      <c r="F5" t="inlineStr">
        <is>
          <t>Belgian Coffee House</t>
        </is>
      </c>
      <c r="G5" t="n">
        <v>6000</v>
      </c>
      <c r="H5" s="6" t="n">
        <v>6.4</v>
      </c>
      <c r="I5" t="inlineStr">
        <is>
          <t>FOB</t>
        </is>
      </c>
      <c r="J5" t="inlineStr">
        <is>
          <t>Ana</t>
        </is>
      </c>
      <c r="K5" s="6">
        <f>G5*H5</f>
        <v/>
      </c>
      <c r="L5" s="7">
        <f>K5*37</f>
        <v/>
      </c>
    </row>
    <row r="6">
      <c r="A6" t="inlineStr">
        <is>
          <t>EXP013</t>
        </is>
      </c>
      <c r="B6" s="5" t="n">
        <v>46256</v>
      </c>
      <c r="C6" t="inlineStr">
        <is>
          <t>Café oro</t>
        </is>
      </c>
      <c r="D6" t="inlineStr">
        <is>
          <t>Café</t>
        </is>
      </c>
      <c r="E6" t="inlineStr">
        <is>
          <t>Estados Unidos</t>
        </is>
      </c>
      <c r="F6" t="inlineStr">
        <is>
          <t>Global Coffee Traders</t>
        </is>
      </c>
      <c r="G6" t="n">
        <v>7000</v>
      </c>
      <c r="H6" s="6" t="n">
        <v>6.35</v>
      </c>
      <c r="I6" t="inlineStr">
        <is>
          <t>FOB</t>
        </is>
      </c>
      <c r="J6" t="inlineStr">
        <is>
          <t>Ana</t>
        </is>
      </c>
      <c r="K6" s="6">
        <f>G6*H6</f>
        <v/>
      </c>
      <c r="L6" s="7">
        <f>K6*37</f>
        <v/>
      </c>
    </row>
    <row r="7">
      <c r="A7" t="inlineStr">
        <is>
          <t>EXP019</t>
        </is>
      </c>
      <c r="B7" s="5" t="n">
        <v>46280</v>
      </c>
      <c r="C7" t="inlineStr">
        <is>
          <t>Café oro</t>
        </is>
      </c>
      <c r="D7" t="inlineStr">
        <is>
          <t>Café</t>
        </is>
      </c>
      <c r="E7" t="inlineStr">
        <is>
          <t>Alemania</t>
        </is>
      </c>
      <c r="F7" t="inlineStr">
        <is>
          <t>German Coffee Import</t>
        </is>
      </c>
      <c r="G7" t="n">
        <v>6500</v>
      </c>
      <c r="H7" s="6" t="n">
        <v>6.5</v>
      </c>
      <c r="I7" t="inlineStr">
        <is>
          <t>FOB</t>
        </is>
      </c>
      <c r="J7" t="inlineStr">
        <is>
          <t>Ana</t>
        </is>
      </c>
      <c r="K7" s="6">
        <f>G7*H7</f>
        <v/>
      </c>
      <c r="L7" s="7">
        <f>K7*37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Filtro 3: FOB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EXP001</t>
        </is>
      </c>
      <c r="B4" s="5" t="n">
        <v>46208</v>
      </c>
      <c r="C4" t="inlineStr">
        <is>
          <t>Café oro</t>
        </is>
      </c>
      <c r="D4" t="inlineStr">
        <is>
          <t>Café</t>
        </is>
      </c>
      <c r="E4" t="inlineStr">
        <is>
          <t>Estados Unidos</t>
        </is>
      </c>
      <c r="F4" t="inlineStr">
        <is>
          <t>Global Coffee Traders</t>
        </is>
      </c>
      <c r="G4" t="n">
        <v>5000</v>
      </c>
      <c r="H4" s="6" t="n">
        <v>6.2</v>
      </c>
      <c r="I4" t="inlineStr">
        <is>
          <t>FOB</t>
        </is>
      </c>
      <c r="J4" t="inlineStr">
        <is>
          <t>Ana</t>
        </is>
      </c>
      <c r="K4" s="6">
        <f>G4*H4</f>
        <v/>
      </c>
      <c r="L4" s="7">
        <f>K4*37</f>
        <v/>
      </c>
    </row>
    <row r="5">
      <c r="A5" t="inlineStr">
        <is>
          <t>EXP002</t>
        </is>
      </c>
      <c r="B5" s="5" t="n">
        <v>46211</v>
      </c>
      <c r="C5" t="inlineStr">
        <is>
          <t>Cacao en grano</t>
        </is>
      </c>
      <c r="D5" t="inlineStr">
        <is>
          <t>Cacao</t>
        </is>
      </c>
      <c r="E5" t="inlineStr">
        <is>
          <t>Alemania</t>
        </is>
      </c>
      <c r="F5" t="inlineStr">
        <is>
          <t>Euro Cocoa GmbH</t>
        </is>
      </c>
      <c r="G5" t="n">
        <v>3500</v>
      </c>
      <c r="H5" s="6" t="n">
        <v>4.8</v>
      </c>
      <c r="I5" t="inlineStr">
        <is>
          <t>FOB</t>
        </is>
      </c>
      <c r="J5" t="inlineStr">
        <is>
          <t>Carlos</t>
        </is>
      </c>
      <c r="K5" s="6">
        <f>G5*H5</f>
        <v/>
      </c>
      <c r="L5" s="7">
        <f>K5*37</f>
        <v/>
      </c>
    </row>
    <row r="6">
      <c r="A6" t="inlineStr">
        <is>
          <t>EXP004</t>
        </is>
      </c>
      <c r="B6" s="5" t="n">
        <v>46218</v>
      </c>
      <c r="C6" t="inlineStr">
        <is>
          <t>Tabaco</t>
        </is>
      </c>
      <c r="D6" t="inlineStr">
        <is>
          <t>Manufactura</t>
        </is>
      </c>
      <c r="E6" t="inlineStr">
        <is>
          <t>Estados Unidos</t>
        </is>
      </c>
      <c r="F6" t="inlineStr">
        <is>
          <t>Premium Tobacco Inc.</t>
        </is>
      </c>
      <c r="G6" t="n">
        <v>2000</v>
      </c>
      <c r="H6" s="6" t="n">
        <v>9.5</v>
      </c>
      <c r="I6" t="inlineStr">
        <is>
          <t>FOB</t>
        </is>
      </c>
      <c r="J6" t="inlineStr">
        <is>
          <t>Ana</t>
        </is>
      </c>
      <c r="K6" s="6">
        <f>G6*H6</f>
        <v/>
      </c>
      <c r="L6" s="7">
        <f>K6*37</f>
        <v/>
      </c>
    </row>
    <row r="7">
      <c r="A7" t="inlineStr">
        <is>
          <t>EXP007</t>
        </is>
      </c>
      <c r="B7" s="5" t="n">
        <v>46230</v>
      </c>
      <c r="C7" t="inlineStr">
        <is>
          <t>Café oro</t>
        </is>
      </c>
      <c r="D7" t="inlineStr">
        <is>
          <t>Café</t>
        </is>
      </c>
      <c r="E7" t="inlineStr">
        <is>
          <t>Bélgica</t>
        </is>
      </c>
      <c r="F7" t="inlineStr">
        <is>
          <t>Belgian Coffee House</t>
        </is>
      </c>
      <c r="G7" t="n">
        <v>6000</v>
      </c>
      <c r="H7" s="6" t="n">
        <v>6.4</v>
      </c>
      <c r="I7" t="inlineStr">
        <is>
          <t>FOB</t>
        </is>
      </c>
      <c r="J7" t="inlineStr">
        <is>
          <t>Ana</t>
        </is>
      </c>
      <c r="K7" s="6">
        <f>G7*H7</f>
        <v/>
      </c>
      <c r="L7" s="7">
        <f>K7*37</f>
        <v/>
      </c>
    </row>
    <row r="8">
      <c r="A8" t="inlineStr">
        <is>
          <t>EXP009</t>
        </is>
      </c>
      <c r="B8" s="5" t="n">
        <v>46240</v>
      </c>
      <c r="C8" t="inlineStr">
        <is>
          <t>Ajonjolí</t>
        </is>
      </c>
      <c r="D8" t="inlineStr">
        <is>
          <t>Granos</t>
        </is>
      </c>
      <c r="E8" t="inlineStr">
        <is>
          <t>Japón</t>
        </is>
      </c>
      <c r="F8" t="inlineStr">
        <is>
          <t>Nippon Foods</t>
        </is>
      </c>
      <c r="G8" t="n">
        <v>4000</v>
      </c>
      <c r="H8" s="6" t="n">
        <v>2.9</v>
      </c>
      <c r="I8" t="inlineStr">
        <is>
          <t>FOB</t>
        </is>
      </c>
      <c r="J8" t="inlineStr">
        <is>
          <t>María</t>
        </is>
      </c>
      <c r="K8" s="6">
        <f>G8*H8</f>
        <v/>
      </c>
      <c r="L8" s="7">
        <f>K8*37</f>
        <v/>
      </c>
    </row>
    <row r="9">
      <c r="A9" t="inlineStr">
        <is>
          <t>EXP010</t>
        </is>
      </c>
      <c r="B9" s="5" t="n">
        <v>46244</v>
      </c>
      <c r="C9" t="inlineStr">
        <is>
          <t>Cacao en grano</t>
        </is>
      </c>
      <c r="D9" t="inlineStr">
        <is>
          <t>Cacao</t>
        </is>
      </c>
      <c r="E9" t="inlineStr">
        <is>
          <t>Países Bajos</t>
        </is>
      </c>
      <c r="F9" t="inlineStr">
        <is>
          <t>Dutch Cocoa Trading</t>
        </is>
      </c>
      <c r="G9" t="n">
        <v>5500</v>
      </c>
      <c r="H9" s="6" t="n">
        <v>4.95</v>
      </c>
      <c r="I9" t="inlineStr">
        <is>
          <t>FOB</t>
        </is>
      </c>
      <c r="J9" t="inlineStr">
        <is>
          <t>Ana</t>
        </is>
      </c>
      <c r="K9" s="6">
        <f>G9*H9</f>
        <v/>
      </c>
      <c r="L9" s="7">
        <f>K9*37</f>
        <v/>
      </c>
    </row>
    <row r="10">
      <c r="A10" t="inlineStr">
        <is>
          <t>EXP012</t>
        </is>
      </c>
      <c r="B10" s="5" t="n">
        <v>46252</v>
      </c>
      <c r="C10" t="inlineStr">
        <is>
          <t>Tabaco</t>
        </is>
      </c>
      <c r="D10" t="inlineStr">
        <is>
          <t>Manufactura</t>
        </is>
      </c>
      <c r="E10" t="inlineStr">
        <is>
          <t>España</t>
        </is>
      </c>
      <c r="F10" t="inlineStr">
        <is>
          <t>Iberian Tobacco</t>
        </is>
      </c>
      <c r="G10" t="n">
        <v>2500</v>
      </c>
      <c r="H10" s="6" t="n">
        <v>9.199999999999999</v>
      </c>
      <c r="I10" t="inlineStr">
        <is>
          <t>FOB</t>
        </is>
      </c>
      <c r="J10" t="inlineStr">
        <is>
          <t>María</t>
        </is>
      </c>
      <c r="K10" s="6">
        <f>G10*H10</f>
        <v/>
      </c>
      <c r="L10" s="7">
        <f>K10*37</f>
        <v/>
      </c>
    </row>
    <row r="11">
      <c r="A11" t="inlineStr">
        <is>
          <t>EXP013</t>
        </is>
      </c>
      <c r="B11" s="5" t="n">
        <v>46256</v>
      </c>
      <c r="C11" t="inlineStr">
        <is>
          <t>Café oro</t>
        </is>
      </c>
      <c r="D11" t="inlineStr">
        <is>
          <t>Café</t>
        </is>
      </c>
      <c r="E11" t="inlineStr">
        <is>
          <t>Estados Unidos</t>
        </is>
      </c>
      <c r="F11" t="inlineStr">
        <is>
          <t>Global Coffee Traders</t>
        </is>
      </c>
      <c r="G11" t="n">
        <v>7000</v>
      </c>
      <c r="H11" s="6" t="n">
        <v>6.35</v>
      </c>
      <c r="I11" t="inlineStr">
        <is>
          <t>FOB</t>
        </is>
      </c>
      <c r="J11" t="inlineStr">
        <is>
          <t>Ana</t>
        </is>
      </c>
      <c r="K11" s="6">
        <f>G11*H11</f>
        <v/>
      </c>
      <c r="L11" s="7">
        <f>K11*37</f>
        <v/>
      </c>
    </row>
    <row r="12">
      <c r="A12" t="inlineStr">
        <is>
          <t>EXP017</t>
        </is>
      </c>
      <c r="B12" s="5" t="n">
        <v>46272</v>
      </c>
      <c r="C12" t="inlineStr">
        <is>
          <t>Ajonjolí</t>
        </is>
      </c>
      <c r="D12" t="inlineStr">
        <is>
          <t>Granos</t>
        </is>
      </c>
      <c r="E12" t="inlineStr">
        <is>
          <t>Japón</t>
        </is>
      </c>
      <c r="F12" t="inlineStr">
        <is>
          <t>Nippon Foods</t>
        </is>
      </c>
      <c r="G12" t="n">
        <v>5000</v>
      </c>
      <c r="H12" s="6" t="n">
        <v>3.05</v>
      </c>
      <c r="I12" t="inlineStr">
        <is>
          <t>FOB</t>
        </is>
      </c>
      <c r="J12" t="inlineStr">
        <is>
          <t>Carlos</t>
        </is>
      </c>
      <c r="K12" s="6">
        <f>G12*H12</f>
        <v/>
      </c>
      <c r="L12" s="7">
        <f>K12*37</f>
        <v/>
      </c>
    </row>
    <row r="13">
      <c r="A13" t="inlineStr">
        <is>
          <t>EXP018</t>
        </is>
      </c>
      <c r="B13" s="5" t="n">
        <v>46276</v>
      </c>
      <c r="C13" t="inlineStr">
        <is>
          <t>Cacao en grano</t>
        </is>
      </c>
      <c r="D13" t="inlineStr">
        <is>
          <t>Cacao</t>
        </is>
      </c>
      <c r="E13" t="inlineStr">
        <is>
          <t>Alemania</t>
        </is>
      </c>
      <c r="F13" t="inlineStr">
        <is>
          <t>Euro Cocoa GmbH</t>
        </is>
      </c>
      <c r="G13" t="n">
        <v>4500</v>
      </c>
      <c r="H13" s="6" t="n">
        <v>5.1</v>
      </c>
      <c r="I13" t="inlineStr">
        <is>
          <t>FOB</t>
        </is>
      </c>
      <c r="J13" t="inlineStr">
        <is>
          <t>María</t>
        </is>
      </c>
      <c r="K13" s="6">
        <f>G13*H13</f>
        <v/>
      </c>
      <c r="L13" s="7">
        <f>K13*37</f>
        <v/>
      </c>
    </row>
    <row r="14">
      <c r="A14" t="inlineStr">
        <is>
          <t>EXP019</t>
        </is>
      </c>
      <c r="B14" s="5" t="n">
        <v>46280</v>
      </c>
      <c r="C14" t="inlineStr">
        <is>
          <t>Café oro</t>
        </is>
      </c>
      <c r="D14" t="inlineStr">
        <is>
          <t>Café</t>
        </is>
      </c>
      <c r="E14" t="inlineStr">
        <is>
          <t>Alemania</t>
        </is>
      </c>
      <c r="F14" t="inlineStr">
        <is>
          <t>German Coffee Import</t>
        </is>
      </c>
      <c r="G14" t="n">
        <v>6500</v>
      </c>
      <c r="H14" s="6" t="n">
        <v>6.5</v>
      </c>
      <c r="I14" t="inlineStr">
        <is>
          <t>FOB</t>
        </is>
      </c>
      <c r="J14" t="inlineStr">
        <is>
          <t>Ana</t>
        </is>
      </c>
      <c r="K14" s="6">
        <f>G14*H14</f>
        <v/>
      </c>
      <c r="L14" s="7">
        <f>K14*37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Filtro 4: Operaciones superiores a US$25,000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EXP001</t>
        </is>
      </c>
      <c r="B4" s="5" t="n">
        <v>46208</v>
      </c>
      <c r="C4" t="inlineStr">
        <is>
          <t>Café oro</t>
        </is>
      </c>
      <c r="D4" t="inlineStr">
        <is>
          <t>Café</t>
        </is>
      </c>
      <c r="E4" t="inlineStr">
        <is>
          <t>Estados Unidos</t>
        </is>
      </c>
      <c r="F4" t="inlineStr">
        <is>
          <t>Global Coffee Traders</t>
        </is>
      </c>
      <c r="G4" t="n">
        <v>5000</v>
      </c>
      <c r="H4" s="6" t="n">
        <v>6.2</v>
      </c>
      <c r="I4" t="inlineStr">
        <is>
          <t>FOB</t>
        </is>
      </c>
      <c r="J4" t="inlineStr">
        <is>
          <t>Ana</t>
        </is>
      </c>
      <c r="K4" s="6">
        <f>G4*H4</f>
        <v/>
      </c>
      <c r="L4" s="7">
        <f>K4*37</f>
        <v/>
      </c>
    </row>
    <row r="5">
      <c r="A5" t="inlineStr">
        <is>
          <t>EXP006</t>
        </is>
      </c>
      <c r="B5" s="5" t="n">
        <v>46226</v>
      </c>
      <c r="C5" t="inlineStr">
        <is>
          <t>Camarón</t>
        </is>
      </c>
      <c r="D5" t="inlineStr">
        <is>
          <t>Pesca</t>
        </is>
      </c>
      <c r="E5" t="inlineStr">
        <is>
          <t>España</t>
        </is>
      </c>
      <c r="F5" t="inlineStr">
        <is>
          <t>Iberia Seafood</t>
        </is>
      </c>
      <c r="G5" t="n">
        <v>4500</v>
      </c>
      <c r="H5" s="6" t="n">
        <v>7.2</v>
      </c>
      <c r="I5" t="inlineStr">
        <is>
          <t>CIF</t>
        </is>
      </c>
      <c r="J5" t="inlineStr">
        <is>
          <t>María</t>
        </is>
      </c>
      <c r="K5" s="6">
        <f>G5*H5</f>
        <v/>
      </c>
      <c r="L5" s="7">
        <f>K5*37</f>
        <v/>
      </c>
    </row>
    <row r="6">
      <c r="A6" t="inlineStr">
        <is>
          <t>EXP007</t>
        </is>
      </c>
      <c r="B6" s="5" t="n">
        <v>46230</v>
      </c>
      <c r="C6" t="inlineStr">
        <is>
          <t>Café oro</t>
        </is>
      </c>
      <c r="D6" t="inlineStr">
        <is>
          <t>Café</t>
        </is>
      </c>
      <c r="E6" t="inlineStr">
        <is>
          <t>Bélgica</t>
        </is>
      </c>
      <c r="F6" t="inlineStr">
        <is>
          <t>Belgian Coffee House</t>
        </is>
      </c>
      <c r="G6" t="n">
        <v>6000</v>
      </c>
      <c r="H6" s="6" t="n">
        <v>6.4</v>
      </c>
      <c r="I6" t="inlineStr">
        <is>
          <t>FOB</t>
        </is>
      </c>
      <c r="J6" t="inlineStr">
        <is>
          <t>Ana</t>
        </is>
      </c>
      <c r="K6" s="6">
        <f>G6*H6</f>
        <v/>
      </c>
      <c r="L6" s="7">
        <f>K6*37</f>
        <v/>
      </c>
    </row>
    <row r="7">
      <c r="A7" t="inlineStr">
        <is>
          <t>EXP008</t>
        </is>
      </c>
      <c r="B7" s="5" t="n">
        <v>46236</v>
      </c>
      <c r="C7" t="inlineStr">
        <is>
          <t>Carne bovina</t>
        </is>
      </c>
      <c r="D7" t="inlineStr">
        <is>
          <t>Cárnicos</t>
        </is>
      </c>
      <c r="E7" t="inlineStr">
        <is>
          <t>Estados Unidos</t>
        </is>
      </c>
      <c r="F7" t="inlineStr">
        <is>
          <t>American Meat Corp.</t>
        </is>
      </c>
      <c r="G7" t="n">
        <v>10000</v>
      </c>
      <c r="H7" s="6" t="n">
        <v>5.1</v>
      </c>
      <c r="I7" t="inlineStr">
        <is>
          <t>CIF</t>
        </is>
      </c>
      <c r="J7" t="inlineStr">
        <is>
          <t>Carlos</t>
        </is>
      </c>
      <c r="K7" s="6">
        <f>G7*H7</f>
        <v/>
      </c>
      <c r="L7" s="7">
        <f>K7*37</f>
        <v/>
      </c>
    </row>
    <row r="8">
      <c r="A8" t="inlineStr">
        <is>
          <t>EXP010</t>
        </is>
      </c>
      <c r="B8" s="5" t="n">
        <v>46244</v>
      </c>
      <c r="C8" t="inlineStr">
        <is>
          <t>Cacao en grano</t>
        </is>
      </c>
      <c r="D8" t="inlineStr">
        <is>
          <t>Cacao</t>
        </is>
      </c>
      <c r="E8" t="inlineStr">
        <is>
          <t>Países Bajos</t>
        </is>
      </c>
      <c r="F8" t="inlineStr">
        <is>
          <t>Dutch Cocoa Trading</t>
        </is>
      </c>
      <c r="G8" t="n">
        <v>5500</v>
      </c>
      <c r="H8" s="6" t="n">
        <v>4.95</v>
      </c>
      <c r="I8" t="inlineStr">
        <is>
          <t>FOB</t>
        </is>
      </c>
      <c r="J8" t="inlineStr">
        <is>
          <t>Ana</t>
        </is>
      </c>
      <c r="K8" s="6">
        <f>G8*H8</f>
        <v/>
      </c>
      <c r="L8" s="7">
        <f>K8*37</f>
        <v/>
      </c>
    </row>
    <row r="9">
      <c r="A9" t="inlineStr">
        <is>
          <t>EXP013</t>
        </is>
      </c>
      <c r="B9" s="5" t="n">
        <v>46256</v>
      </c>
      <c r="C9" t="inlineStr">
        <is>
          <t>Café oro</t>
        </is>
      </c>
      <c r="D9" t="inlineStr">
        <is>
          <t>Café</t>
        </is>
      </c>
      <c r="E9" t="inlineStr">
        <is>
          <t>Estados Unidos</t>
        </is>
      </c>
      <c r="F9" t="inlineStr">
        <is>
          <t>Global Coffee Traders</t>
        </is>
      </c>
      <c r="G9" t="n">
        <v>7000</v>
      </c>
      <c r="H9" s="6" t="n">
        <v>6.35</v>
      </c>
      <c r="I9" t="inlineStr">
        <is>
          <t>FOB</t>
        </is>
      </c>
      <c r="J9" t="inlineStr">
        <is>
          <t>Ana</t>
        </is>
      </c>
      <c r="K9" s="6">
        <f>G9*H9</f>
        <v/>
      </c>
      <c r="L9" s="7">
        <f>K9*37</f>
        <v/>
      </c>
    </row>
    <row r="10">
      <c r="A10" t="inlineStr">
        <is>
          <t>EXP014</t>
        </is>
      </c>
      <c r="B10" s="5" t="n">
        <v>46260</v>
      </c>
      <c r="C10" t="inlineStr">
        <is>
          <t>Camarón</t>
        </is>
      </c>
      <c r="D10" t="inlineStr">
        <is>
          <t>Pesca</t>
        </is>
      </c>
      <c r="E10" t="inlineStr">
        <is>
          <t>México</t>
        </is>
      </c>
      <c r="F10" t="inlineStr">
        <is>
          <t>Pacific Seafood MX</t>
        </is>
      </c>
      <c r="G10" t="n">
        <v>5000</v>
      </c>
      <c r="H10" s="6" t="n">
        <v>7</v>
      </c>
      <c r="I10" t="inlineStr">
        <is>
          <t>CIF</t>
        </is>
      </c>
      <c r="J10" t="inlineStr">
        <is>
          <t>Carlos</t>
        </is>
      </c>
      <c r="K10" s="6">
        <f>G10*H10</f>
        <v/>
      </c>
      <c r="L10" s="7">
        <f>K10*37</f>
        <v/>
      </c>
    </row>
    <row r="11">
      <c r="A11" t="inlineStr">
        <is>
          <t>EXP016</t>
        </is>
      </c>
      <c r="B11" s="5" t="n">
        <v>46268</v>
      </c>
      <c r="C11" t="inlineStr">
        <is>
          <t>Carne bovina</t>
        </is>
      </c>
      <c r="D11" t="inlineStr">
        <is>
          <t>Cárnicos</t>
        </is>
      </c>
      <c r="E11" t="inlineStr">
        <is>
          <t>El Salvador</t>
        </is>
      </c>
      <c r="F11" t="inlineStr">
        <is>
          <t>Salvador Meat Importers</t>
        </is>
      </c>
      <c r="G11" t="n">
        <v>8000</v>
      </c>
      <c r="H11" s="6" t="n">
        <v>5</v>
      </c>
      <c r="I11" t="inlineStr">
        <is>
          <t>CIF</t>
        </is>
      </c>
      <c r="J11" t="inlineStr">
        <is>
          <t>Ana</t>
        </is>
      </c>
      <c r="K11" s="6">
        <f>G11*H11</f>
        <v/>
      </c>
      <c r="L11" s="7">
        <f>K11*37</f>
        <v/>
      </c>
    </row>
    <row r="12">
      <c r="A12" t="inlineStr">
        <is>
          <t>EXP019</t>
        </is>
      </c>
      <c r="B12" s="5" t="n">
        <v>46280</v>
      </c>
      <c r="C12" t="inlineStr">
        <is>
          <t>Café oro</t>
        </is>
      </c>
      <c r="D12" t="inlineStr">
        <is>
          <t>Café</t>
        </is>
      </c>
      <c r="E12" t="inlineStr">
        <is>
          <t>Alemania</t>
        </is>
      </c>
      <c r="F12" t="inlineStr">
        <is>
          <t>German Coffee Import</t>
        </is>
      </c>
      <c r="G12" t="n">
        <v>6500</v>
      </c>
      <c r="H12" s="6" t="n">
        <v>6.5</v>
      </c>
      <c r="I12" t="inlineStr">
        <is>
          <t>FOB</t>
        </is>
      </c>
      <c r="J12" t="inlineStr">
        <is>
          <t>Ana</t>
        </is>
      </c>
      <c r="K12" s="6">
        <f>G12*H12</f>
        <v/>
      </c>
      <c r="L12" s="7">
        <f>K12*37</f>
        <v/>
      </c>
    </row>
    <row r="13">
      <c r="A13" t="inlineStr">
        <is>
          <t>EXP020</t>
        </is>
      </c>
      <c r="B13" s="5" t="n">
        <v>46285</v>
      </c>
      <c r="C13" t="inlineStr">
        <is>
          <t>Camarón</t>
        </is>
      </c>
      <c r="D13" t="inlineStr">
        <is>
          <t>Pesca</t>
        </is>
      </c>
      <c r="E13" t="inlineStr">
        <is>
          <t>España</t>
        </is>
      </c>
      <c r="F13" t="inlineStr">
        <is>
          <t>Iberia Seafood</t>
        </is>
      </c>
      <c r="G13" t="n">
        <v>6000</v>
      </c>
      <c r="H13" s="6" t="n">
        <v>7.35</v>
      </c>
      <c r="I13" t="inlineStr">
        <is>
          <t>CIF</t>
        </is>
      </c>
      <c r="J13" t="inlineStr">
        <is>
          <t>Carlos</t>
        </is>
      </c>
      <c r="K13" s="6">
        <f>G13*H13</f>
        <v/>
      </c>
      <c r="L13" s="7">
        <f>K13*37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Filtro 5: Europa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EXP002</t>
        </is>
      </c>
      <c r="B4" s="5" t="n">
        <v>46211</v>
      </c>
      <c r="C4" t="inlineStr">
        <is>
          <t>Cacao en grano</t>
        </is>
      </c>
      <c r="D4" t="inlineStr">
        <is>
          <t>Cacao</t>
        </is>
      </c>
      <c r="E4" t="inlineStr">
        <is>
          <t>Alemania</t>
        </is>
      </c>
      <c r="F4" t="inlineStr">
        <is>
          <t>Euro Cocoa GmbH</t>
        </is>
      </c>
      <c r="G4" t="n">
        <v>3500</v>
      </c>
      <c r="H4" s="6" t="n">
        <v>4.8</v>
      </c>
      <c r="I4" t="inlineStr">
        <is>
          <t>FOB</t>
        </is>
      </c>
      <c r="J4" t="inlineStr">
        <is>
          <t>Carlos</t>
        </is>
      </c>
      <c r="K4" s="6">
        <f>G4*H4</f>
        <v/>
      </c>
      <c r="L4" s="7">
        <f>K4*37</f>
        <v/>
      </c>
    </row>
    <row r="5">
      <c r="A5" t="inlineStr">
        <is>
          <t>EXP006</t>
        </is>
      </c>
      <c r="B5" s="5" t="n">
        <v>46226</v>
      </c>
      <c r="C5" t="inlineStr">
        <is>
          <t>Camarón</t>
        </is>
      </c>
      <c r="D5" t="inlineStr">
        <is>
          <t>Pesca</t>
        </is>
      </c>
      <c r="E5" t="inlineStr">
        <is>
          <t>España</t>
        </is>
      </c>
      <c r="F5" t="inlineStr">
        <is>
          <t>Iberia Seafood</t>
        </is>
      </c>
      <c r="G5" t="n">
        <v>4500</v>
      </c>
      <c r="H5" s="6" t="n">
        <v>7.2</v>
      </c>
      <c r="I5" t="inlineStr">
        <is>
          <t>CIF</t>
        </is>
      </c>
      <c r="J5" t="inlineStr">
        <is>
          <t>María</t>
        </is>
      </c>
      <c r="K5" s="6">
        <f>G5*H5</f>
        <v/>
      </c>
      <c r="L5" s="7">
        <f>K5*37</f>
        <v/>
      </c>
    </row>
    <row r="6">
      <c r="A6" t="inlineStr">
        <is>
          <t>EXP007</t>
        </is>
      </c>
      <c r="B6" s="5" t="n">
        <v>46230</v>
      </c>
      <c r="C6" t="inlineStr">
        <is>
          <t>Café oro</t>
        </is>
      </c>
      <c r="D6" t="inlineStr">
        <is>
          <t>Café</t>
        </is>
      </c>
      <c r="E6" t="inlineStr">
        <is>
          <t>Bélgica</t>
        </is>
      </c>
      <c r="F6" t="inlineStr">
        <is>
          <t>Belgian Coffee House</t>
        </is>
      </c>
      <c r="G6" t="n">
        <v>6000</v>
      </c>
      <c r="H6" s="6" t="n">
        <v>6.4</v>
      </c>
      <c r="I6" t="inlineStr">
        <is>
          <t>FOB</t>
        </is>
      </c>
      <c r="J6" t="inlineStr">
        <is>
          <t>Ana</t>
        </is>
      </c>
      <c r="K6" s="6">
        <f>G6*H6</f>
        <v/>
      </c>
      <c r="L6" s="7">
        <f>K6*37</f>
        <v/>
      </c>
    </row>
    <row r="7">
      <c r="A7" t="inlineStr">
        <is>
          <t>EXP010</t>
        </is>
      </c>
      <c r="B7" s="5" t="n">
        <v>46244</v>
      </c>
      <c r="C7" t="inlineStr">
        <is>
          <t>Cacao en grano</t>
        </is>
      </c>
      <c r="D7" t="inlineStr">
        <is>
          <t>Cacao</t>
        </is>
      </c>
      <c r="E7" t="inlineStr">
        <is>
          <t>Países Bajos</t>
        </is>
      </c>
      <c r="F7" t="inlineStr">
        <is>
          <t>Dutch Cocoa Trading</t>
        </is>
      </c>
      <c r="G7" t="n">
        <v>5500</v>
      </c>
      <c r="H7" s="6" t="n">
        <v>4.95</v>
      </c>
      <c r="I7" t="inlineStr">
        <is>
          <t>FOB</t>
        </is>
      </c>
      <c r="J7" t="inlineStr">
        <is>
          <t>Ana</t>
        </is>
      </c>
      <c r="K7" s="6">
        <f>G7*H7</f>
        <v/>
      </c>
      <c r="L7" s="7">
        <f>K7*37</f>
        <v/>
      </c>
    </row>
    <row r="8">
      <c r="A8" t="inlineStr">
        <is>
          <t>EXP012</t>
        </is>
      </c>
      <c r="B8" s="5" t="n">
        <v>46252</v>
      </c>
      <c r="C8" t="inlineStr">
        <is>
          <t>Tabaco</t>
        </is>
      </c>
      <c r="D8" t="inlineStr">
        <is>
          <t>Manufactura</t>
        </is>
      </c>
      <c r="E8" t="inlineStr">
        <is>
          <t>España</t>
        </is>
      </c>
      <c r="F8" t="inlineStr">
        <is>
          <t>Iberian Tobacco</t>
        </is>
      </c>
      <c r="G8" t="n">
        <v>2500</v>
      </c>
      <c r="H8" s="6" t="n">
        <v>9.199999999999999</v>
      </c>
      <c r="I8" t="inlineStr">
        <is>
          <t>FOB</t>
        </is>
      </c>
      <c r="J8" t="inlineStr">
        <is>
          <t>María</t>
        </is>
      </c>
      <c r="K8" s="6">
        <f>G8*H8</f>
        <v/>
      </c>
      <c r="L8" s="7">
        <f>K8*37</f>
        <v/>
      </c>
    </row>
    <row r="9">
      <c r="A9" t="inlineStr">
        <is>
          <t>EXP018</t>
        </is>
      </c>
      <c r="B9" s="5" t="n">
        <v>46276</v>
      </c>
      <c r="C9" t="inlineStr">
        <is>
          <t>Cacao en grano</t>
        </is>
      </c>
      <c r="D9" t="inlineStr">
        <is>
          <t>Cacao</t>
        </is>
      </c>
      <c r="E9" t="inlineStr">
        <is>
          <t>Alemania</t>
        </is>
      </c>
      <c r="F9" t="inlineStr">
        <is>
          <t>Euro Cocoa GmbH</t>
        </is>
      </c>
      <c r="G9" t="n">
        <v>4500</v>
      </c>
      <c r="H9" s="6" t="n">
        <v>5.1</v>
      </c>
      <c r="I9" t="inlineStr">
        <is>
          <t>FOB</t>
        </is>
      </c>
      <c r="J9" t="inlineStr">
        <is>
          <t>María</t>
        </is>
      </c>
      <c r="K9" s="6">
        <f>G9*H9</f>
        <v/>
      </c>
      <c r="L9" s="7">
        <f>K9*37</f>
        <v/>
      </c>
    </row>
    <row r="10">
      <c r="A10" t="inlineStr">
        <is>
          <t>EXP019</t>
        </is>
      </c>
      <c r="B10" s="5" t="n">
        <v>46280</v>
      </c>
      <c r="C10" t="inlineStr">
        <is>
          <t>Café oro</t>
        </is>
      </c>
      <c r="D10" t="inlineStr">
        <is>
          <t>Café</t>
        </is>
      </c>
      <c r="E10" t="inlineStr">
        <is>
          <t>Alemania</t>
        </is>
      </c>
      <c r="F10" t="inlineStr">
        <is>
          <t>German Coffee Import</t>
        </is>
      </c>
      <c r="G10" t="n">
        <v>6500</v>
      </c>
      <c r="H10" s="6" t="n">
        <v>6.5</v>
      </c>
      <c r="I10" t="inlineStr">
        <is>
          <t>FOB</t>
        </is>
      </c>
      <c r="J10" t="inlineStr">
        <is>
          <t>Ana</t>
        </is>
      </c>
      <c r="K10" s="6">
        <f>G10*H10</f>
        <v/>
      </c>
      <c r="L10" s="7">
        <f>K10*37</f>
        <v/>
      </c>
    </row>
    <row r="11">
      <c r="A11" t="inlineStr">
        <is>
          <t>EXP020</t>
        </is>
      </c>
      <c r="B11" s="5" t="n">
        <v>46285</v>
      </c>
      <c r="C11" t="inlineStr">
        <is>
          <t>Camarón</t>
        </is>
      </c>
      <c r="D11" t="inlineStr">
        <is>
          <t>Pesca</t>
        </is>
      </c>
      <c r="E11" t="inlineStr">
        <is>
          <t>España</t>
        </is>
      </c>
      <c r="F11" t="inlineStr">
        <is>
          <t>Iberia Seafood</t>
        </is>
      </c>
      <c r="G11" t="n">
        <v>6000</v>
      </c>
      <c r="H11" s="6" t="n">
        <v>7.35</v>
      </c>
      <c r="I11" t="inlineStr">
        <is>
          <t>CIF</t>
        </is>
      </c>
      <c r="J11" t="inlineStr">
        <is>
          <t>Carlos</t>
        </is>
      </c>
      <c r="K11" s="6">
        <f>G11*H11</f>
        <v/>
      </c>
      <c r="L11" s="7">
        <f>K11*37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8" customWidth="1" min="4" max="4"/>
    <col width="20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22" customWidth="1" min="11" max="11"/>
    <col width="22" customWidth="1" min="12" max="12"/>
  </cols>
  <sheetData>
    <row r="1">
      <c r="A1" s="8" t="inlineStr">
        <is>
          <t>Filtro 6: Gestionadas por Ana</t>
        </is>
      </c>
    </row>
    <row r="3">
      <c r="A3" s="9" t="inlineStr">
        <is>
          <t>ID</t>
        </is>
      </c>
      <c r="B3" s="9" t="inlineStr">
        <is>
          <t>Fecha</t>
        </is>
      </c>
      <c r="C3" s="9" t="inlineStr">
        <is>
          <t>Producto</t>
        </is>
      </c>
      <c r="D3" s="9" t="inlineStr">
        <is>
          <t>Categoría</t>
        </is>
      </c>
      <c r="E3" s="9" t="inlineStr">
        <is>
          <t>País destino</t>
        </is>
      </c>
      <c r="F3" s="9" t="inlineStr">
        <is>
          <t>Cliente internacional</t>
        </is>
      </c>
      <c r="G3" s="9" t="inlineStr">
        <is>
          <t>Cantidad kg</t>
        </is>
      </c>
      <c r="H3" s="9" t="inlineStr">
        <is>
          <t>Precio US$/kg</t>
        </is>
      </c>
      <c r="I3" s="9" t="inlineStr">
        <is>
          <t>Incoterm</t>
        </is>
      </c>
      <c r="J3" s="9" t="inlineStr">
        <is>
          <t>Ejecutivo</t>
        </is>
      </c>
      <c r="K3" s="9" t="inlineStr">
        <is>
          <t>Valor exportación US$</t>
        </is>
      </c>
      <c r="L3" s="9" t="inlineStr">
        <is>
          <t>Valor exportación C$</t>
        </is>
      </c>
    </row>
    <row r="4">
      <c r="A4" t="inlineStr">
        <is>
          <t>EXP001</t>
        </is>
      </c>
      <c r="B4" s="5" t="n">
        <v>46208</v>
      </c>
      <c r="C4" t="inlineStr">
        <is>
          <t>Café oro</t>
        </is>
      </c>
      <c r="D4" t="inlineStr">
        <is>
          <t>Café</t>
        </is>
      </c>
      <c r="E4" t="inlineStr">
        <is>
          <t>Estados Unidos</t>
        </is>
      </c>
      <c r="F4" t="inlineStr">
        <is>
          <t>Global Coffee Traders</t>
        </is>
      </c>
      <c r="G4" t="n">
        <v>5000</v>
      </c>
      <c r="H4" s="6" t="n">
        <v>6.2</v>
      </c>
      <c r="I4" t="inlineStr">
        <is>
          <t>FOB</t>
        </is>
      </c>
      <c r="J4" t="inlineStr">
        <is>
          <t>Ana</t>
        </is>
      </c>
      <c r="K4" s="6">
        <f>G4*H4</f>
        <v/>
      </c>
      <c r="L4" s="7">
        <f>K4*37</f>
        <v/>
      </c>
    </row>
    <row r="5">
      <c r="A5" t="inlineStr">
        <is>
          <t>EXP004</t>
        </is>
      </c>
      <c r="B5" s="5" t="n">
        <v>46218</v>
      </c>
      <c r="C5" t="inlineStr">
        <is>
          <t>Tabaco</t>
        </is>
      </c>
      <c r="D5" t="inlineStr">
        <is>
          <t>Manufactura</t>
        </is>
      </c>
      <c r="E5" t="inlineStr">
        <is>
          <t>Estados Unidos</t>
        </is>
      </c>
      <c r="F5" t="inlineStr">
        <is>
          <t>Premium Tobacco Inc.</t>
        </is>
      </c>
      <c r="G5" t="n">
        <v>2000</v>
      </c>
      <c r="H5" s="6" t="n">
        <v>9.5</v>
      </c>
      <c r="I5" t="inlineStr">
        <is>
          <t>FOB</t>
        </is>
      </c>
      <c r="J5" t="inlineStr">
        <is>
          <t>Ana</t>
        </is>
      </c>
      <c r="K5" s="6">
        <f>G5*H5</f>
        <v/>
      </c>
      <c r="L5" s="7">
        <f>K5*37</f>
        <v/>
      </c>
    </row>
    <row r="6">
      <c r="A6" t="inlineStr">
        <is>
          <t>EXP007</t>
        </is>
      </c>
      <c r="B6" s="5" t="n">
        <v>46230</v>
      </c>
      <c r="C6" t="inlineStr">
        <is>
          <t>Café oro</t>
        </is>
      </c>
      <c r="D6" t="inlineStr">
        <is>
          <t>Café</t>
        </is>
      </c>
      <c r="E6" t="inlineStr">
        <is>
          <t>Bélgica</t>
        </is>
      </c>
      <c r="F6" t="inlineStr">
        <is>
          <t>Belgian Coffee House</t>
        </is>
      </c>
      <c r="G6" t="n">
        <v>6000</v>
      </c>
      <c r="H6" s="6" t="n">
        <v>6.4</v>
      </c>
      <c r="I6" t="inlineStr">
        <is>
          <t>FOB</t>
        </is>
      </c>
      <c r="J6" t="inlineStr">
        <is>
          <t>Ana</t>
        </is>
      </c>
      <c r="K6" s="6">
        <f>G6*H6</f>
        <v/>
      </c>
      <c r="L6" s="7">
        <f>K6*37</f>
        <v/>
      </c>
    </row>
    <row r="7">
      <c r="A7" t="inlineStr">
        <is>
          <t>EXP010</t>
        </is>
      </c>
      <c r="B7" s="5" t="n">
        <v>46244</v>
      </c>
      <c r="C7" t="inlineStr">
        <is>
          <t>Cacao en grano</t>
        </is>
      </c>
      <c r="D7" t="inlineStr">
        <is>
          <t>Cacao</t>
        </is>
      </c>
      <c r="E7" t="inlineStr">
        <is>
          <t>Países Bajos</t>
        </is>
      </c>
      <c r="F7" t="inlineStr">
        <is>
          <t>Dutch Cocoa Trading</t>
        </is>
      </c>
      <c r="G7" t="n">
        <v>5500</v>
      </c>
      <c r="H7" s="6" t="n">
        <v>4.95</v>
      </c>
      <c r="I7" t="inlineStr">
        <is>
          <t>FOB</t>
        </is>
      </c>
      <c r="J7" t="inlineStr">
        <is>
          <t>Ana</t>
        </is>
      </c>
      <c r="K7" s="6">
        <f>G7*H7</f>
        <v/>
      </c>
      <c r="L7" s="7">
        <f>K7*37</f>
        <v/>
      </c>
    </row>
    <row r="8">
      <c r="A8" t="inlineStr">
        <is>
          <t>EXP013</t>
        </is>
      </c>
      <c r="B8" s="5" t="n">
        <v>46256</v>
      </c>
      <c r="C8" t="inlineStr">
        <is>
          <t>Café oro</t>
        </is>
      </c>
      <c r="D8" t="inlineStr">
        <is>
          <t>Café</t>
        </is>
      </c>
      <c r="E8" t="inlineStr">
        <is>
          <t>Estados Unidos</t>
        </is>
      </c>
      <c r="F8" t="inlineStr">
        <is>
          <t>Global Coffee Traders</t>
        </is>
      </c>
      <c r="G8" t="n">
        <v>7000</v>
      </c>
      <c r="H8" s="6" t="n">
        <v>6.35</v>
      </c>
      <c r="I8" t="inlineStr">
        <is>
          <t>FOB</t>
        </is>
      </c>
      <c r="J8" t="inlineStr">
        <is>
          <t>Ana</t>
        </is>
      </c>
      <c r="K8" s="6">
        <f>G8*H8</f>
        <v/>
      </c>
      <c r="L8" s="7">
        <f>K8*37</f>
        <v/>
      </c>
    </row>
    <row r="9">
      <c r="A9" t="inlineStr">
        <is>
          <t>EXP016</t>
        </is>
      </c>
      <c r="B9" s="5" t="n">
        <v>46268</v>
      </c>
      <c r="C9" t="inlineStr">
        <is>
          <t>Carne bovina</t>
        </is>
      </c>
      <c r="D9" t="inlineStr">
        <is>
          <t>Cárnicos</t>
        </is>
      </c>
      <c r="E9" t="inlineStr">
        <is>
          <t>El Salvador</t>
        </is>
      </c>
      <c r="F9" t="inlineStr">
        <is>
          <t>Salvador Meat Importers</t>
        </is>
      </c>
      <c r="G9" t="n">
        <v>8000</v>
      </c>
      <c r="H9" s="6" t="n">
        <v>5</v>
      </c>
      <c r="I9" t="inlineStr">
        <is>
          <t>CIF</t>
        </is>
      </c>
      <c r="J9" t="inlineStr">
        <is>
          <t>Ana</t>
        </is>
      </c>
      <c r="K9" s="6">
        <f>G9*H9</f>
        <v/>
      </c>
      <c r="L9" s="7">
        <f>K9*37</f>
        <v/>
      </c>
    </row>
    <row r="10">
      <c r="A10" t="inlineStr">
        <is>
          <t>EXP019</t>
        </is>
      </c>
      <c r="B10" s="5" t="n">
        <v>46280</v>
      </c>
      <c r="C10" t="inlineStr">
        <is>
          <t>Café oro</t>
        </is>
      </c>
      <c r="D10" t="inlineStr">
        <is>
          <t>Café</t>
        </is>
      </c>
      <c r="E10" t="inlineStr">
        <is>
          <t>Alemania</t>
        </is>
      </c>
      <c r="F10" t="inlineStr">
        <is>
          <t>German Coffee Import</t>
        </is>
      </c>
      <c r="G10" t="n">
        <v>6500</v>
      </c>
      <c r="H10" s="6" t="n">
        <v>6.5</v>
      </c>
      <c r="I10" t="inlineStr">
        <is>
          <t>FOB</t>
        </is>
      </c>
      <c r="J10" t="inlineStr">
        <is>
          <t>Ana</t>
        </is>
      </c>
      <c r="K10" s="6">
        <f>G10*H10</f>
        <v/>
      </c>
      <c r="L10" s="7">
        <f>K10*37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5" customWidth="1" min="4" max="4"/>
    <col width="80" customWidth="1" min="5" max="5"/>
  </cols>
  <sheetData>
    <row r="1">
      <c r="A1" s="10" t="inlineStr">
        <is>
          <t>NICARAGUA EXPORTA S.A.</t>
        </is>
      </c>
    </row>
    <row r="2">
      <c r="A2" t="inlineStr">
        <is>
          <t>Resumen Ejecutivo — julio a septiembre de 2026</t>
        </is>
      </c>
    </row>
    <row r="4">
      <c r="A4" s="11" t="inlineStr">
        <is>
          <t>Total exportado (kg)</t>
        </is>
      </c>
      <c r="B4" s="1" t="n">
        <v>127500</v>
      </c>
      <c r="D4" s="12" t="inlineStr">
        <is>
          <t>Análisis para la toma de decisiones</t>
        </is>
      </c>
    </row>
    <row r="5">
      <c r="A5" s="11" t="inlineStr">
        <is>
          <t>Valor total de exportaciones (US$)</t>
        </is>
      </c>
      <c r="B5" s="6" t="n">
        <v>543250</v>
      </c>
      <c r="D5" s="13" t="inlineStr">
        <is>
          <t>1. Producto con mayor valor total</t>
        </is>
      </c>
      <c r="E5" s="14" t="inlineStr">
        <is>
          <t>Café oro — US$156,100.00</t>
        </is>
      </c>
    </row>
    <row r="6">
      <c r="A6" s="11" t="inlineStr">
        <is>
          <t>Promedio del valor de exportación (US$)</t>
        </is>
      </c>
      <c r="B6" s="6" t="n">
        <v>27162.5</v>
      </c>
      <c r="D6" s="13" t="inlineStr">
        <is>
          <t>2. Producto con mayor cantidad exportada</t>
        </is>
      </c>
      <c r="E6" s="14" t="inlineStr">
        <is>
          <t>Azúcar — 27,000 kg</t>
        </is>
      </c>
    </row>
    <row r="7">
      <c r="A7" s="11" t="inlineStr">
        <is>
          <t>Mayor operación (US$)</t>
        </is>
      </c>
      <c r="B7" s="6" t="n">
        <v>51000</v>
      </c>
      <c r="D7" s="13" t="inlineStr">
        <is>
          <t>3. Principal país de destino</t>
        </is>
      </c>
      <c r="E7" s="14" t="inlineStr">
        <is>
          <t>Estados Unidos — US$145,450.00</t>
        </is>
      </c>
    </row>
    <row r="8">
      <c r="A8" s="11" t="inlineStr">
        <is>
          <t>Menor operación (US$)</t>
        </is>
      </c>
      <c r="B8" s="6" t="n">
        <v>10200</v>
      </c>
      <c r="D8" s="13" t="inlineStr">
        <is>
          <t>4. Cliente internacional con mayor valor</t>
        </is>
      </c>
      <c r="E8" s="14" t="inlineStr">
        <is>
          <t>Iberia Seafood — US$76,500.00</t>
        </is>
      </c>
    </row>
    <row r="9">
      <c r="A9" s="11" t="inlineStr">
        <is>
          <t>Número de operaciones</t>
        </is>
      </c>
      <c r="B9" s="15" t="n">
        <v>20</v>
      </c>
      <c r="D9" s="13" t="inlineStr">
        <is>
          <t>5. Ejecutivo con mayor valor</t>
        </is>
      </c>
      <c r="E9" s="14" t="inlineStr">
        <is>
          <t>Ana — US$242,325.00</t>
        </is>
      </c>
    </row>
    <row r="10">
      <c r="A10" s="11" t="inlineStr">
        <is>
          <t>Número de operaciones a Estados Unidos</t>
        </is>
      </c>
      <c r="B10" s="15" t="n">
        <v>4</v>
      </c>
      <c r="D10" s="13" t="inlineStr">
        <is>
          <t>6. Operación de mayor valor</t>
        </is>
      </c>
      <c r="E10" s="14" t="inlineStr">
        <is>
          <t>EXP008 — Carne bovina — Estados Unidos — US$51,000.00</t>
        </is>
      </c>
    </row>
    <row r="11">
      <c r="A11" s="11" t="inlineStr">
        <is>
          <t>Valor de exportación en C$ para España</t>
        </is>
      </c>
      <c r="B11" s="7" t="n">
        <v>3681500</v>
      </c>
      <c r="D11" s="13" t="inlineStr">
        <is>
          <t>7. Producto con mayor potencial comercial</t>
        </is>
      </c>
      <c r="E11" s="14" t="inlineStr">
        <is>
          <t>Café oro, porque concentra el mayor valor acumulado del período.</t>
        </is>
      </c>
    </row>
    <row r="12">
      <c r="D12" s="13" t="inlineStr">
        <is>
          <t>8. Mercado que debería recibir mayor atención</t>
        </is>
      </c>
      <c r="E12" s="14" t="inlineStr">
        <is>
          <t>Estados Unidos, porque concentra el mayor valor acumulado del período.</t>
        </is>
      </c>
    </row>
    <row r="13">
      <c r="D13" s="13" t="inlineStr">
        <is>
          <t>9. Recomendaciones</t>
        </is>
      </c>
      <c r="E13" s="14" t="inlineStr">
        <is>
          <t>Dar seguimiento a mercados de mayor valor; fortalecer relaciones con clientes principales; monitorear conjuntamente volumen, precio e Incoterm.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Conclusiones</t>
        </is>
      </c>
    </row>
    <row r="3">
      <c r="A3" s="16" t="inlineStr">
        <is>
          <t>1. Café oro registra el mayor valor total de exportación: US$156,100.00.</t>
        </is>
      </c>
    </row>
    <row r="4">
      <c r="A4" s="16" t="inlineStr">
        <is>
          <t>2. Azúcar registra la mayor cantidad exportada: 27,000 kg.</t>
        </is>
      </c>
    </row>
    <row r="5">
      <c r="A5" s="16" t="inlineStr">
        <is>
          <t>3. Estados Unidos es el principal país de destino por valor: US$145,450.00.</t>
        </is>
      </c>
    </row>
    <row r="6">
      <c r="A6" s="16" t="inlineStr">
        <is>
          <t>4. Iberia Seafood es el cliente con mayor valor acumulado: US$76,500.00; Ana es el ejecutivo con mayor valor gestionado: US$242,325.00.</t>
        </is>
      </c>
    </row>
    <row r="7">
      <c r="A7" s="16" t="inlineStr">
        <is>
          <t>5. La operación de mayor valor es EXP008, por US$51,000.00.</t>
        </is>
      </c>
    </row>
    <row r="8">
      <c r="A8" s="16" t="inlineStr">
        <is>
          <t>6. Las conclusiones se basan en las 20 operaciones entregadas para julio-septiembre de 2026.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55" customWidth="1" min="3" max="3"/>
    <col width="75" customWidth="1" min="4" max="4"/>
  </cols>
  <sheetData>
    <row r="1">
      <c r="A1" s="9" t="inlineStr">
        <is>
          <t>Carpeta</t>
        </is>
      </c>
      <c r="B1" s="9" t="inlineStr">
        <is>
          <t>Subcarpeta</t>
        </is>
      </c>
      <c r="C1" s="9" t="inlineStr">
        <is>
          <t>Archivo</t>
        </is>
      </c>
      <c r="D1" s="9" t="inlineStr">
        <is>
          <t>Justificación</t>
        </is>
      </c>
    </row>
    <row r="2">
      <c r="A2" t="inlineStr">
        <is>
          <t>Exportaciones</t>
        </is>
      </c>
      <c r="B2" t="inlineStr">
        <is>
          <t>Facturas</t>
        </is>
      </c>
      <c r="C2" t="inlineStr">
        <is>
          <t>EXP_FACTURA_CAFE_USA_2026-07_V01.docx</t>
        </is>
      </c>
      <c r="D2" s="16" t="inlineStr">
        <is>
          <t>Factura comercial de una exportación de café a EE. UU.</t>
        </is>
      </c>
    </row>
    <row r="3">
      <c r="A3" t="inlineStr">
        <is>
          <t>Exportaciones</t>
        </is>
      </c>
      <c r="B3" t="inlineStr">
        <is>
          <t>Certificados</t>
        </is>
      </c>
      <c r="C3" t="inlineStr">
        <is>
          <t>EXP_CERTIFICADO_ORIGEN_CAFE_BELGICA_2026-07_V01.docx</t>
        </is>
      </c>
      <c r="D3" s="16" t="inlineStr">
        <is>
          <t>Certificado de origen de una exportación de café a Bélgica.</t>
        </is>
      </c>
    </row>
    <row r="4">
      <c r="A4" t="inlineStr">
        <is>
          <t>Exportaciones</t>
        </is>
      </c>
      <c r="B4" t="inlineStr">
        <is>
          <t>Reportes</t>
        </is>
      </c>
      <c r="C4" t="inlineStr">
        <is>
          <t>REP_EXPORTACIONES_GENERAL_2026-09_V01.xlsx</t>
        </is>
      </c>
      <c r="D4" s="16" t="inlineStr">
        <is>
          <t>Reporte general de exportaciones.</t>
        </is>
      </c>
    </row>
    <row r="5">
      <c r="A5" t="inlineStr">
        <is>
          <t>Clientes Internacionales</t>
        </is>
      </c>
      <c r="B5" t="inlineStr">
        <is>
          <t>Registros</t>
        </is>
      </c>
      <c r="C5" t="inlineStr">
        <is>
          <t>CLI_REGISTRO_GLOBALCOFFEE_USA_2026-07_V01.xlsx</t>
        </is>
      </c>
      <c r="D5" s="16" t="inlineStr">
        <is>
          <t>Registro de un cliente internacional.</t>
        </is>
      </c>
    </row>
    <row r="6">
      <c r="A6" t="inlineStr">
        <is>
          <t>Proveedores</t>
        </is>
      </c>
      <c r="B6" t="inlineStr">
        <is>
          <t>Registros</t>
        </is>
      </c>
      <c r="C6" t="inlineStr">
        <is>
          <t>PROV_PRODUCTOR_CACAO_NICARAGUA_2026-07_V01.xlsx</t>
        </is>
      </c>
      <c r="D6" s="16" t="inlineStr">
        <is>
          <t>Registro de proveedor/productor nacional.</t>
        </is>
      </c>
    </row>
    <row r="7">
      <c r="A7" t="inlineStr">
        <is>
          <t>Reportes</t>
        </is>
      </c>
      <c r="B7" t="inlineStr">
        <is>
          <t>Análisis</t>
        </is>
      </c>
      <c r="C7" t="inlineStr">
        <is>
          <t>REP_ANALISIS_EXPORTACIONES_2026-09_V01.docx</t>
        </is>
      </c>
      <c r="D7" s="16" t="inlineStr">
        <is>
          <t>Informe de análisis de exportaciones.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0" t="inlineStr">
        <is>
          <t>Informe de Inteligencia Comercial – Nicaragua Exporta</t>
        </is>
      </c>
    </row>
    <row r="3">
      <c r="A3" s="17" t="inlineStr">
        <is>
          <t>Situación actual</t>
        </is>
      </c>
      <c r="B3" s="16" t="inlineStr">
        <is>
          <t>La empresa ficticia Nicaragua Exporta S.A. comercializa y exporta productos nicaragüenses a mercados internacionales. En julio-septiembre de 2026 se registraron 20 operaciones.</t>
        </is>
      </c>
    </row>
    <row r="4">
      <c r="A4" s="17" t="inlineStr">
        <is>
          <t>Principales productos</t>
        </is>
      </c>
      <c r="B4" s="16" t="inlineStr">
        <is>
          <t>Café oro lidera por valor acumulado (US$156,100.00); Azúcar lidera por cantidad (27,000 kg).</t>
        </is>
      </c>
    </row>
    <row r="5">
      <c r="A5" s="17" t="inlineStr">
        <is>
          <t>Principales mercados</t>
        </is>
      </c>
      <c r="B5" s="16" t="inlineStr">
        <is>
          <t>Estados Unidos concentra el mayor valor acumulado (US$145,450.00).</t>
        </is>
      </c>
    </row>
    <row r="6">
      <c r="A6" s="17" t="inlineStr">
        <is>
          <t>Clientes internacionales</t>
        </is>
      </c>
      <c r="B6" s="16" t="inlineStr">
        <is>
          <t>Iberia Seafood representa el mayor valor acumulado (US$76,500.00).</t>
        </is>
      </c>
    </row>
    <row r="7">
      <c r="A7" s="17" t="inlineStr">
        <is>
          <t>5 hallazgos</t>
        </is>
      </c>
      <c r="B7" s="16" t="inlineStr">
        <is>
          <t>1) El líder por valor y por volumen puede ser distinto. 2) Los mercados tienen participaciones diferentes. 3) Se utilizan FOB y CIF. 4) Hay clientes con operaciones repetidas. 5) El valor depende conjuntamente de cantidad y precio.</t>
        </is>
      </c>
    </row>
    <row r="8">
      <c r="A8" s="17" t="inlineStr">
        <is>
          <t>3 recomendaciones</t>
        </is>
      </c>
      <c r="B8" s="16" t="inlineStr">
        <is>
          <t>1) Dar seguimiento a mercados de mayor valor. 2) Fortalecer relaciones con clientes principales. 3) Revisar volumen, precio e Incoterm antes de decisiones comerciales.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Cèsar Marìn</dc:creator>
  <dcterms:created xmlns:dcterms="http://purl.org/dc/terms/" xmlns:xsi="http://www.w3.org/2001/XMLSchema-instance" xsi:type="dcterms:W3CDTF">2026-09-06T14:12:00Z</dcterms:created>
  <dcterms:modified xmlns:dcterms="http://purl.org/dc/terms/" xmlns:xsi="http://www.w3.org/2001/XMLSchema-instance" xsi:type="dcterms:W3CDTF">2026-09-25T23:03:50Z</dcterms:modified>
  <cp:lastModifiedBy>Cèsar Marìn</cp:lastModifiedBy>
</cp:coreProperties>
</file>