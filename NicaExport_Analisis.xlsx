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eraciones" sheetId="1" state="visible" r:id="rId3"/>
    <sheet name="Productos" sheetId="2" state="visible" r:id="rId4"/>
    <sheet name="Mercados" sheetId="3" state="visible" r:id="rId5"/>
    <sheet name="Análisis" sheetId="4" state="visible" r:id="rId6"/>
    <sheet name="Gráficos" sheetId="5" state="visible" r:id="rId7"/>
  </sheets>
  <definedNames>
    <definedName function="false" hidden="true" localSheetId="0" name="_xlnm._FilterDatabase" vbProcedure="false">Operaciones!$A$1:$U$101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<sst xmlns="http://schemas.openxmlformats.org/spreadsheetml/2006/main" count="624" uniqueCount="177">
  <si>
    <t xml:space="preserve">ID_Operación</t>
  </si>
  <si>
    <t xml:space="preserve">Fecha</t>
  </si>
  <si>
    <t xml:space="preserve">Cliente</t>
  </si>
  <si>
    <t xml:space="preserve">Código Producto</t>
  </si>
  <si>
    <t xml:space="preserve">País Destino</t>
  </si>
  <si>
    <t xml:space="preserve">Unidades</t>
  </si>
  <si>
    <t xml:space="preserve">Precio FOB</t>
  </si>
  <si>
    <t xml:space="preserve">Costo Unitario</t>
  </si>
  <si>
    <t xml:space="preserve">Estado</t>
  </si>
  <si>
    <t xml:space="preserve">Producto</t>
  </si>
  <si>
    <t xml:space="preserve">Categoría</t>
  </si>
  <si>
    <t xml:space="preserve">Región</t>
  </si>
  <si>
    <t xml:space="preserve">Arancel %</t>
  </si>
  <si>
    <t xml:space="preserve">Clasificación mercado</t>
  </si>
  <si>
    <t xml:space="preserve">Valor FOB</t>
  </si>
  <si>
    <t xml:space="preserve">Costo total</t>
  </si>
  <si>
    <t xml:space="preserve">Utilidad</t>
  </si>
  <si>
    <t xml:space="preserve">Margen</t>
  </si>
  <si>
    <t xml:space="preserve">Nivel rentabilidad</t>
  </si>
  <si>
    <t xml:space="preserve">Nivel de operación</t>
  </si>
  <si>
    <t xml:space="preserve">Prioridad comercial</t>
  </si>
  <si>
    <t xml:space="preserve">EX001</t>
  </si>
  <si>
    <t xml:space="preserve">Comercial Maya</t>
  </si>
  <si>
    <t xml:space="preserve">P003</t>
  </si>
  <si>
    <t xml:space="preserve">Guatemala</t>
  </si>
  <si>
    <t xml:space="preserve">Embarcado</t>
  </si>
  <si>
    <t xml:space="preserve">EX002</t>
  </si>
  <si>
    <t xml:space="preserve">Global Foods</t>
  </si>
  <si>
    <t xml:space="preserve">P001</t>
  </si>
  <si>
    <t xml:space="preserve">EE.UU.</t>
  </si>
  <si>
    <t xml:space="preserve">Entregado</t>
  </si>
  <si>
    <t xml:space="preserve">EX003</t>
  </si>
  <si>
    <t xml:space="preserve">Distribuidora Tica</t>
  </si>
  <si>
    <t xml:space="preserve">P004</t>
  </si>
  <si>
    <t xml:space="preserve">Costa Rica</t>
  </si>
  <si>
    <t xml:space="preserve">EX004</t>
  </si>
  <si>
    <t xml:space="preserve">Iberia Foods</t>
  </si>
  <si>
    <t xml:space="preserve">P002</t>
  </si>
  <si>
    <t xml:space="preserve">España</t>
  </si>
  <si>
    <t xml:space="preserve">Pendiente</t>
  </si>
  <si>
    <t xml:space="preserve">EX005</t>
  </si>
  <si>
    <t xml:space="preserve">Comercial Azteca</t>
  </si>
  <si>
    <t xml:space="preserve">P005</t>
  </si>
  <si>
    <t xml:space="preserve">México</t>
  </si>
  <si>
    <t xml:space="preserve">EX006</t>
  </si>
  <si>
    <t xml:space="preserve">EX007</t>
  </si>
  <si>
    <t xml:space="preserve">EX008</t>
  </si>
  <si>
    <t xml:space="preserve">EX009</t>
  </si>
  <si>
    <t xml:space="preserve">EX010</t>
  </si>
  <si>
    <t xml:space="preserve">EX011</t>
  </si>
  <si>
    <t xml:space="preserve">EX012</t>
  </si>
  <si>
    <t xml:space="preserve">EX013</t>
  </si>
  <si>
    <t xml:space="preserve">EX014</t>
  </si>
  <si>
    <t xml:space="preserve">EX015</t>
  </si>
  <si>
    <t xml:space="preserve">EX016</t>
  </si>
  <si>
    <t xml:space="preserve">EX017</t>
  </si>
  <si>
    <t xml:space="preserve">EX018</t>
  </si>
  <si>
    <t xml:space="preserve">EX019</t>
  </si>
  <si>
    <t xml:space="preserve">EX020</t>
  </si>
  <si>
    <t xml:space="preserve">EX021</t>
  </si>
  <si>
    <t xml:space="preserve">EX022</t>
  </si>
  <si>
    <t xml:space="preserve">EX023</t>
  </si>
  <si>
    <t xml:space="preserve">EX024</t>
  </si>
  <si>
    <t xml:space="preserve">EX025</t>
  </si>
  <si>
    <t xml:space="preserve">EX026</t>
  </si>
  <si>
    <t xml:space="preserve">EX027</t>
  </si>
  <si>
    <t xml:space="preserve">EX028</t>
  </si>
  <si>
    <t xml:space="preserve">EX029</t>
  </si>
  <si>
    <t xml:space="preserve">EX030</t>
  </si>
  <si>
    <t xml:space="preserve">EX031</t>
  </si>
  <si>
    <t xml:space="preserve">EX032</t>
  </si>
  <si>
    <t xml:space="preserve">EX033</t>
  </si>
  <si>
    <t xml:space="preserve">EX034</t>
  </si>
  <si>
    <t xml:space="preserve">EX035</t>
  </si>
  <si>
    <t xml:space="preserve">EX036</t>
  </si>
  <si>
    <t xml:space="preserve">EX037</t>
  </si>
  <si>
    <t xml:space="preserve">EX038</t>
  </si>
  <si>
    <t xml:space="preserve">EX039</t>
  </si>
  <si>
    <t xml:space="preserve">EX040</t>
  </si>
  <si>
    <t xml:space="preserve">EX041</t>
  </si>
  <si>
    <t xml:space="preserve">EX042</t>
  </si>
  <si>
    <t xml:space="preserve">EX043</t>
  </si>
  <si>
    <t xml:space="preserve">EX044</t>
  </si>
  <si>
    <t xml:space="preserve">EX045</t>
  </si>
  <si>
    <t xml:space="preserve">EX046</t>
  </si>
  <si>
    <t xml:space="preserve">EX047</t>
  </si>
  <si>
    <t xml:space="preserve">EX048</t>
  </si>
  <si>
    <t xml:space="preserve">EX049</t>
  </si>
  <si>
    <t xml:space="preserve">EX050</t>
  </si>
  <si>
    <t xml:space="preserve">EX051</t>
  </si>
  <si>
    <t xml:space="preserve">EX052</t>
  </si>
  <si>
    <t xml:space="preserve">EX053</t>
  </si>
  <si>
    <t xml:space="preserve">EX054</t>
  </si>
  <si>
    <t xml:space="preserve">EX055</t>
  </si>
  <si>
    <t xml:space="preserve">EX056</t>
  </si>
  <si>
    <t xml:space="preserve">EX057</t>
  </si>
  <si>
    <t xml:space="preserve">EX058</t>
  </si>
  <si>
    <t xml:space="preserve">EX059</t>
  </si>
  <si>
    <t xml:space="preserve">EX060</t>
  </si>
  <si>
    <t xml:space="preserve">EX061</t>
  </si>
  <si>
    <t xml:space="preserve">EX062</t>
  </si>
  <si>
    <t xml:space="preserve">EX063</t>
  </si>
  <si>
    <t xml:space="preserve">EX064</t>
  </si>
  <si>
    <t xml:space="preserve">EX065</t>
  </si>
  <si>
    <t xml:space="preserve">EX066</t>
  </si>
  <si>
    <t xml:space="preserve">EX067</t>
  </si>
  <si>
    <t xml:space="preserve">EX068</t>
  </si>
  <si>
    <t xml:space="preserve">EX069</t>
  </si>
  <si>
    <t xml:space="preserve">EX070</t>
  </si>
  <si>
    <t xml:space="preserve">EX071</t>
  </si>
  <si>
    <t xml:space="preserve">EX072</t>
  </si>
  <si>
    <t xml:space="preserve">EX073</t>
  </si>
  <si>
    <t xml:space="preserve">EX074</t>
  </si>
  <si>
    <t xml:space="preserve">EX075</t>
  </si>
  <si>
    <t xml:space="preserve">EX076</t>
  </si>
  <si>
    <t xml:space="preserve">EX077</t>
  </si>
  <si>
    <t xml:space="preserve">EX078</t>
  </si>
  <si>
    <t xml:space="preserve">EX079</t>
  </si>
  <si>
    <t xml:space="preserve">EX080</t>
  </si>
  <si>
    <t xml:space="preserve">EX081</t>
  </si>
  <si>
    <t xml:space="preserve">EX082</t>
  </si>
  <si>
    <t xml:space="preserve">EX083</t>
  </si>
  <si>
    <t xml:space="preserve">EX084</t>
  </si>
  <si>
    <t xml:space="preserve">EX085</t>
  </si>
  <si>
    <t xml:space="preserve">EX086</t>
  </si>
  <si>
    <t xml:space="preserve">EX087</t>
  </si>
  <si>
    <t xml:space="preserve">EX088</t>
  </si>
  <si>
    <t xml:space="preserve">EX089</t>
  </si>
  <si>
    <t xml:space="preserve">EX090</t>
  </si>
  <si>
    <t xml:space="preserve">EX091</t>
  </si>
  <si>
    <t xml:space="preserve">EX092</t>
  </si>
  <si>
    <t xml:space="preserve">EX093</t>
  </si>
  <si>
    <t xml:space="preserve">EX094</t>
  </si>
  <si>
    <t xml:space="preserve">EX095</t>
  </si>
  <si>
    <t xml:space="preserve">EX096</t>
  </si>
  <si>
    <t xml:space="preserve">EX097</t>
  </si>
  <si>
    <t xml:space="preserve">EX098</t>
  </si>
  <si>
    <t xml:space="preserve">EX099</t>
  </si>
  <si>
    <t xml:space="preserve">EX100</t>
  </si>
  <si>
    <t xml:space="preserve">Código</t>
  </si>
  <si>
    <t xml:space="preserve">Unidad de Medida</t>
  </si>
  <si>
    <t xml:space="preserve">Café especial</t>
  </si>
  <si>
    <t xml:space="preserve">Café</t>
  </si>
  <si>
    <t xml:space="preserve">Kg</t>
  </si>
  <si>
    <t xml:space="preserve">Cacao en grano</t>
  </si>
  <si>
    <t xml:space="preserve">Cacao</t>
  </si>
  <si>
    <t xml:space="preserve">Miel natural</t>
  </si>
  <si>
    <t xml:space="preserve">Apícola</t>
  </si>
  <si>
    <t xml:space="preserve">Maní procesado</t>
  </si>
  <si>
    <t xml:space="preserve">Semillas</t>
  </si>
  <si>
    <t xml:space="preserve">Aceite de ajonjolí</t>
  </si>
  <si>
    <t xml:space="preserve">Aceites</t>
  </si>
  <si>
    <t xml:space="preserve">Litro</t>
  </si>
  <si>
    <t xml:space="preserve">País</t>
  </si>
  <si>
    <t xml:space="preserve">Clasificación</t>
  </si>
  <si>
    <t xml:space="preserve">Norteamérica</t>
  </si>
  <si>
    <t xml:space="preserve">Estratégico</t>
  </si>
  <si>
    <t xml:space="preserve">Potencial</t>
  </si>
  <si>
    <t xml:space="preserve">Centroamérica</t>
  </si>
  <si>
    <t xml:space="preserve">El Salvador</t>
  </si>
  <si>
    <t xml:space="preserve">Europa</t>
  </si>
  <si>
    <t xml:space="preserve">NicaExport Trading, S.A. — Análisis empresarial</t>
  </si>
  <si>
    <t xml:space="preserve">Operaciones</t>
  </si>
  <si>
    <t xml:space="preserve">Funciones condicionales</t>
  </si>
  <si>
    <t xml:space="preserve">Pendientes</t>
  </si>
  <si>
    <t xml:space="preserve">Operaciones EE.UU.</t>
  </si>
  <si>
    <t xml:space="preserve">Operaciones pendientes</t>
  </si>
  <si>
    <t xml:space="preserve">FOB México</t>
  </si>
  <si>
    <t xml:space="preserve">Unidades Guatemala</t>
  </si>
  <si>
    <t xml:space="preserve">Margen global</t>
  </si>
  <si>
    <t xml:space="preserve">FOB Café especial EE.UU.</t>
  </si>
  <si>
    <t xml:space="preserve">Rentabilidad alta</t>
  </si>
  <si>
    <t xml:space="preserve">Utilidad Centroamérica entregada</t>
  </si>
  <si>
    <t xml:space="preserve">Prioridad alta</t>
  </si>
  <si>
    <t xml:space="preserve">Semillas de chía</t>
  </si>
  <si>
    <t xml:space="preserve">Cacao orgánico</t>
  </si>
  <si>
    <t xml:space="preserve">Gráficos — NicaExport Trading, S.A.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</si>
</sst>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$#,##0.00"/>
    <numFmt numFmtId="167" formatCode="0.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rgb="FF70AD47"/>
        <bgColor rgb="FF548235"/>
      </patternFill>
    </fill>
    <fill>
      <patternFill patternType="solid">
        <fgColor rgb="FFD9EAF7"/>
        <bgColor rgb="FFD9D9D9"/>
      </patternFill>
    </fill>
    <fill>
      <patternFill patternType="solid">
        <fgColor rgb="FF5B9BD5"/>
        <bgColor rgb="FF4F81BD"/>
      </patternFill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C6E0B4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6E0B4"/>
      <rgbColor rgb="FF878787"/>
      <rgbColor rgb="FF5B9BD5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Valor FOB por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Gráficos!B3</c:f>
              <c:strCache>
                <c:ptCount val="1"/>
                <c:pt idx="0">
                  <c:v>Valor FOB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Gráficos!$A$4:$A$8</c:f>
              <c:strCache>
                <c:ptCount val="5"/>
                <c:pt idx="0">
                  <c:v>Guatemala</c:v>
                </c:pt>
                <c:pt idx="1">
                  <c:v>EE.UU.</c:v>
                </c:pt>
                <c:pt idx="2">
                  <c:v>Costa Rica</c:v>
                </c:pt>
                <c:pt idx="3">
                  <c:v>España</c:v>
                </c:pt>
                <c:pt idx="4">
                  <c:v>México</c:v>
                </c:pt>
              </c:strCache>
            </c:strRef>
          </c:cat>
          <c:val>
            <c:numRef>
              <c:f>Gráficos!$B$4:$B$8</c:f>
              <c:numCache>
                <c:formatCode>\$#,##0.00</c:formatCode>
                <c:ptCount val="5"/>
                <c:pt idx="0">
                  <c:v>119335</c:v>
                </c:pt>
                <c:pt idx="1">
                  <c:v>168745</c:v>
                </c:pt>
                <c:pt idx="2">
                  <c:v>113544</c:v>
                </c:pt>
                <c:pt idx="3">
                  <c:v>136328</c:v>
                </c:pt>
                <c:pt idx="4">
                  <c:v>120313</c:v>
                </c:pt>
              </c:numCache>
            </c:numRef>
          </c:val>
        </c:ser>
        <c:gapWidth val="150"/>
        <c:overlap val="0"/>
        <c:axId val="62244954"/>
        <c:axId val="66997192"/>
      </c:barChart>
      <c:catAx>
        <c:axId val="62244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97192"/>
        <c:crosses val="autoZero"/>
        <c:auto val="1"/>
        <c:lblAlgn val="ctr"/>
        <c:lblOffset val="100"/>
        <c:noMultiLvlLbl val="0"/>
      </c:catAx>
      <c:valAx>
        <c:axId val="66997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244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Utilidad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Gráficos!B11</c:f>
              <c:strCache>
                <c:ptCount val="1"/>
                <c:pt idx="0">
                  <c:v>Utilidad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Gráficos!$A$12:$A$16</c:f>
              <c:strCache>
                <c:ptCount val="5"/>
                <c:pt idx="0">
                  <c:v>Café especial</c:v>
                </c:pt>
                <c:pt idx="1">
                  <c:v>Miel natural</c:v>
                </c:pt>
                <c:pt idx="2">
                  <c:v>Aceite de ajonjolí</c:v>
                </c:pt>
                <c:pt idx="3">
                  <c:v>Semillas de chía</c:v>
                </c:pt>
                <c:pt idx="4">
                  <c:v>Cacao orgánico</c:v>
                </c:pt>
              </c:strCache>
            </c:strRef>
          </c:cat>
          <c:val>
            <c:numRef>
              <c:f>Gráficos!$B$12:$B$16</c:f>
              <c:numCache>
                <c:formatCode>\$#,##0.00</c:formatCode>
                <c:ptCount val="5"/>
                <c:pt idx="0">
                  <c:v>62832</c:v>
                </c:pt>
                <c:pt idx="1">
                  <c:v>38688</c:v>
                </c:pt>
                <c:pt idx="2">
                  <c:v>42218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5401351"/>
        <c:axId val="24721168"/>
      </c:barChart>
      <c:catAx>
        <c:axId val="3540135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721168"/>
        <c:crosses val="autoZero"/>
        <c:auto val="1"/>
        <c:lblAlgn val="ctr"/>
        <c:lblOffset val="100"/>
        <c:noMultiLvlLbl val="0"/>
      </c:catAx>
      <c:valAx>
        <c:axId val="24721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01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Valor FOB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Gráficos!B20</c:f>
              <c:strCache>
                <c:ptCount val="1"/>
                <c:pt idx="0">
                  <c:v>Valor FOB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Gráficos!$A$21:$A$23</c:f>
              <c:strCache>
                <c:ptCount val="3"/>
                <c:pt idx="0">
                  <c:v>Centroamérica</c:v>
                </c:pt>
                <c:pt idx="1">
                  <c:v>Norteamérica</c:v>
                </c:pt>
                <c:pt idx="2">
                  <c:v>Europa</c:v>
                </c:pt>
              </c:strCache>
            </c:strRef>
          </c:cat>
          <c:val>
            <c:numRef>
              <c:f>Gráficos!$B$21:$B$23</c:f>
              <c:numCache>
                <c:formatCode>\$#,##0.00</c:formatCode>
                <c:ptCount val="3"/>
                <c:pt idx="0">
                  <c:v>232879</c:v>
                </c:pt>
                <c:pt idx="1">
                  <c:v>289058</c:v>
                </c:pt>
                <c:pt idx="2">
                  <c:v>136328</c:v>
                </c:pt>
              </c:numCache>
            </c:numRef>
          </c:val>
        </c:ser>
        <c:gapWidth val="150"/>
        <c:overlap val="0"/>
        <c:axId val="17089849"/>
        <c:axId val="83301231"/>
      </c:barChart>
      <c:catAx>
        <c:axId val="170898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301231"/>
        <c:crosses val="autoZero"/>
        <c:auto val="1"/>
        <c:lblAlgn val="ctr"/>
        <c:lblOffset val="100"/>
        <c:noMultiLvlLbl val="0"/>
      </c:catAx>
      <c:valAx>
        <c:axId val="83301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089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11</xdr:col>
      <xdr:colOff>147240</xdr:colOff>
      <xdr:row>16</xdr:row>
      <xdr:rowOff>152640</xdr:rowOff>
    </xdr:to>
    <xdr:graphicFrame>
      <xdr:nvGraphicFramePr>
        <xdr:cNvPr id="0" name="Chart 1"/>
        <xdr:cNvGraphicFramePr/>
      </xdr:nvGraphicFramePr>
      <xdr:xfrm>
        <a:off x="3853800" y="37836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131040</xdr:rowOff>
    </xdr:from>
    <xdr:to>
      <xdr:col>11</xdr:col>
      <xdr:colOff>147240</xdr:colOff>
      <xdr:row>31</xdr:row>
      <xdr:rowOff>152640</xdr:rowOff>
    </xdr:to>
    <xdr:graphicFrame>
      <xdr:nvGraphicFramePr>
        <xdr:cNvPr id="1" name="Chart 2"/>
        <xdr:cNvGraphicFramePr/>
      </xdr:nvGraphicFramePr>
      <xdr:xfrm>
        <a:off x="3853800" y="323604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31</xdr:row>
      <xdr:rowOff>130680</xdr:rowOff>
    </xdr:from>
    <xdr:to>
      <xdr:col>11</xdr:col>
      <xdr:colOff>147240</xdr:colOff>
      <xdr:row>46</xdr:row>
      <xdr:rowOff>152640</xdr:rowOff>
    </xdr:to>
    <xdr:graphicFrame>
      <xdr:nvGraphicFramePr>
        <xdr:cNvPr id="2" name="Chart 3"/>
        <xdr:cNvGraphicFramePr/>
      </xdr:nvGraphicFramePr>
      <xdr:xfrm>
        <a:off x="3853800" y="609336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Mercados" displayName="tblMercados" ref="A1:D7" headerRowCount="1" totalsRowCount="0" totalsRowShown="0">
  <autoFilter ref="A1:D7"/>
  <tableColumns count="4">
    <tableColumn id="1" name="País"/>
    <tableColumn id="2" name="Región"/>
    <tableColumn id="3" name="Arancel %"/>
    <tableColumn id="4" name="Clasificación"/>
  </tableColumns>
</table>
</file>

<file path=xl/tables/table2.xml><?xml version="1.0" encoding="utf-8"?>
<table xmlns="http://schemas.openxmlformats.org/spreadsheetml/2006/main" id="2" name="tblOperaciones" displayName="tblOperaciones" ref="A1:U101" headerRowCount="1" totalsRowCount="0" totalsRowShown="0">
  <autoFilter ref="A1:U101"/>
  <tableColumns count="21">
    <tableColumn id="1" name="ID_Operación"/>
    <tableColumn id="2" name="Fecha"/>
    <tableColumn id="3" name="Cliente"/>
    <tableColumn id="4" name="Código Producto"/>
    <tableColumn id="5" name="País Destino"/>
    <tableColumn id="6" name="Unidades"/>
    <tableColumn id="7" name="Precio FOB"/>
    <tableColumn id="8" name="Costo Unitario"/>
    <tableColumn id="9" name="Estado"/>
    <tableColumn id="10" name="Producto"/>
    <tableColumn id="11" name="Categoría"/>
    <tableColumn id="12" name="Región"/>
    <tableColumn id="13" name="Arancel %"/>
    <tableColumn id="14" name="Clasificación mercado"/>
    <tableColumn id="15" name="Valor FOB"/>
    <tableColumn id="16" name="Costo total"/>
    <tableColumn id="17" name="Utilidad"/>
    <tableColumn id="18" name="Margen"/>
    <tableColumn id="19" name="Nivel rentabilidad"/>
    <tableColumn id="20" name="Nivel de operación"/>
    <tableColumn id="21" name="Prioridad comercial"/>
  </tableColumns>
</table>
</file>

<file path=xl/tables/table3.xml><?xml version="1.0" encoding="utf-8"?>
<table xmlns="http://schemas.openxmlformats.org/spreadsheetml/2006/main" id="3" name="tblProductos" displayName="tblProductos" ref="A1:D6" headerRowCount="1" totalsRowCount="0" totalsRowShown="0">
  <autoFilter ref="A1:D6"/>
  <tableColumns count="4">
    <tableColumn id="1" name="Código"/>
    <tableColumn id="2" name="Producto"/>
    <tableColumn id="3" name="Categoría"/>
    <tableColumn id="4" name="Unidad de Medi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1"/>
    <col collapsed="false" customWidth="true" hidden="false" outlineLevel="0" max="3" min="3" style="1" width="20"/>
    <col collapsed="false" customWidth="true" hidden="false" outlineLevel="0" max="4" min="4" style="1" width="17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4" min="10" style="1" width="27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8" min="17" style="1" width="12"/>
    <col collapsed="false" customWidth="true" hidden="false" outlineLevel="0" max="21" min="19" style="1" width="27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true" outlineLevel="0" collapsed="false">
      <c r="A2" s="3" t="s">
        <v>21</v>
      </c>
      <c r="B2" s="4" t="n">
        <v>46027</v>
      </c>
      <c r="C2" s="1" t="s">
        <v>22</v>
      </c>
      <c r="D2" s="1" t="s">
        <v>23</v>
      </c>
      <c r="E2" s="1" t="s">
        <v>24</v>
      </c>
      <c r="F2" s="1" t="n">
        <v>850</v>
      </c>
      <c r="G2" s="1" t="n">
        <v>4.8</v>
      </c>
      <c r="H2" s="5" t="n">
        <v>3.2</v>
      </c>
      <c r="I2" s="5" t="s">
        <v>25</v>
      </c>
      <c r="J2" s="1" t="str">
        <f aca="false">VLOOKUP(D2,Productos!$A$2:$D$6,2,FALSE())</f>
        <v>Miel natural</v>
      </c>
      <c r="K2" s="1" t="str">
        <f aca="false">VLOOKUP(D2,Productos!$A$2:$D$6,3,FALSE())</f>
        <v>Apícola</v>
      </c>
      <c r="L2" s="1" t="str">
        <f aca="false">VLOOKUP(E2,Mercados!$A$2:$D$7,2,FALSE())</f>
        <v>Centroamérica</v>
      </c>
      <c r="M2" s="6" t="n">
        <f aca="false">VLOOKUP(E2,Mercados!$A$2:$D$7,3,FALSE())</f>
        <v>0.03</v>
      </c>
      <c r="N2" s="1" t="str">
        <f aca="false">VLOOKUP(E2,Mercados!$A$2:$D$7,4,FALSE())</f>
        <v>Estratégico</v>
      </c>
      <c r="O2" s="5" t="n">
        <f aca="false">F2*G2</f>
        <v>4080</v>
      </c>
      <c r="P2" s="5" t="n">
        <f aca="false">F2*H2</f>
        <v>2720</v>
      </c>
      <c r="Q2" s="5" t="n">
        <f aca="false">O2-P2</f>
        <v>1360</v>
      </c>
      <c r="R2" s="6" t="n">
        <f aca="false">Q2/O2</f>
        <v>0.333333333333333</v>
      </c>
      <c r="S2" s="1" t="str">
        <f aca="false">IF(R2&gt;=30%,"Alta",IF(R2&gt;=15%,"Media","Baja"))</f>
        <v>Alta</v>
      </c>
      <c r="T2" s="1" t="str">
        <f aca="false">IF(O2&gt;=10000,"Grande",IF(O2&gt;=5000,"Mediana","Pequeña"))</f>
        <v>Pequeña</v>
      </c>
      <c r="U2" s="1" t="str">
        <f aca="false">IF(AND(N2="Estratégico",R2&gt;=30%),"Alta",IF(OR(AND(N2="Estratégico",R2&lt;30%),AND(N2="Potencial",R2&gt;=30%)),"Media","Baja"))</f>
        <v>Alta</v>
      </c>
    </row>
    <row r="3" customFormat="false" ht="15" hidden="false" customHeight="true" outlineLevel="0" collapsed="false">
      <c r="A3" s="3" t="s">
        <v>26</v>
      </c>
      <c r="B3" s="4" t="n">
        <v>46034</v>
      </c>
      <c r="C3" s="1" t="s">
        <v>27</v>
      </c>
      <c r="D3" s="1" t="s">
        <v>28</v>
      </c>
      <c r="E3" s="1" t="s">
        <v>29</v>
      </c>
      <c r="F3" s="1" t="n">
        <v>1200</v>
      </c>
      <c r="G3" s="1" t="n">
        <v>6.5</v>
      </c>
      <c r="H3" s="5" t="n">
        <v>4.1</v>
      </c>
      <c r="I3" s="5" t="s">
        <v>30</v>
      </c>
      <c r="J3" s="1" t="str">
        <f aca="false">VLOOKUP(D3,Productos!$A$2:$D$6,2,FALSE())</f>
        <v>Café especial</v>
      </c>
      <c r="K3" s="1" t="str">
        <f aca="false">VLOOKUP(D3,Productos!$A$2:$D$6,3,FALSE())</f>
        <v>Café</v>
      </c>
      <c r="L3" s="1" t="str">
        <f aca="false">VLOOKUP(E3,Mercados!$A$2:$D$7,2,FALSE())</f>
        <v>Norteamérica</v>
      </c>
      <c r="M3" s="6" t="n">
        <f aca="false">VLOOKUP(E3,Mercados!$A$2:$D$7,3,FALSE())</f>
        <v>0.05</v>
      </c>
      <c r="N3" s="1" t="str">
        <f aca="false">VLOOKUP(E3,Mercados!$A$2:$D$7,4,FALSE())</f>
        <v>Estratégico</v>
      </c>
      <c r="O3" s="5" t="n">
        <f aca="false">F3*G3</f>
        <v>7800</v>
      </c>
      <c r="P3" s="5" t="n">
        <f aca="false">F3*H3</f>
        <v>4920</v>
      </c>
      <c r="Q3" s="5" t="n">
        <f aca="false">O3-P3</f>
        <v>2880</v>
      </c>
      <c r="R3" s="6" t="n">
        <f aca="false">Q3/O3</f>
        <v>0.369230769230769</v>
      </c>
      <c r="S3" s="1" t="str">
        <f aca="false">IF(R3&gt;=30%,"Alta",IF(R3&gt;=15%,"Media","Baja"))</f>
        <v>Alta</v>
      </c>
      <c r="T3" s="1" t="str">
        <f aca="false">IF(O3&gt;=10000,"Grande",IF(O3&gt;=5000,"Mediana","Pequeña"))</f>
        <v>Mediana</v>
      </c>
      <c r="U3" s="1" t="str">
        <f aca="false">IF(AND(N3="Estratégico",R3&gt;=30%),"Alta",IF(OR(AND(N3="Estratégico",R3&lt;30%),AND(N3="Potencial",R3&gt;=30%)),"Media","Baja"))</f>
        <v>Alta</v>
      </c>
    </row>
    <row r="4" customFormat="false" ht="15" hidden="false" customHeight="true" outlineLevel="0" collapsed="false">
      <c r="A4" s="3" t="s">
        <v>31</v>
      </c>
      <c r="B4" s="4" t="n">
        <v>46042</v>
      </c>
      <c r="C4" s="1" t="s">
        <v>32</v>
      </c>
      <c r="D4" s="1" t="s">
        <v>33</v>
      </c>
      <c r="E4" s="1" t="s">
        <v>34</v>
      </c>
      <c r="F4" s="1" t="n">
        <v>650</v>
      </c>
      <c r="G4" s="1" t="n">
        <v>8.2</v>
      </c>
      <c r="H4" s="5" t="n">
        <v>5.9</v>
      </c>
      <c r="I4" s="5" t="s">
        <v>25</v>
      </c>
      <c r="J4" s="1" t="str">
        <f aca="false">VLOOKUP(D4,Productos!$A$2:$D$6,2,FALSE())</f>
        <v>Maní procesado</v>
      </c>
      <c r="K4" s="1" t="str">
        <f aca="false">VLOOKUP(D4,Productos!$A$2:$D$6,3,FALSE())</f>
        <v>Semillas</v>
      </c>
      <c r="L4" s="1" t="str">
        <f aca="false">VLOOKUP(E4,Mercados!$A$2:$D$7,2,FALSE())</f>
        <v>Centroamérica</v>
      </c>
      <c r="M4" s="6" t="n">
        <f aca="false">VLOOKUP(E4,Mercados!$A$2:$D$7,3,FALSE())</f>
        <v>0.02</v>
      </c>
      <c r="N4" s="1" t="str">
        <f aca="false">VLOOKUP(E4,Mercados!$A$2:$D$7,4,FALSE())</f>
        <v>Estratégico</v>
      </c>
      <c r="O4" s="5" t="n">
        <f aca="false">F4*G4</f>
        <v>5330</v>
      </c>
      <c r="P4" s="5" t="n">
        <f aca="false">F4*H4</f>
        <v>3835</v>
      </c>
      <c r="Q4" s="5" t="n">
        <f aca="false">O4-P4</f>
        <v>1495</v>
      </c>
      <c r="R4" s="6" t="n">
        <f aca="false">Q4/O4</f>
        <v>0.280487804878049</v>
      </c>
      <c r="S4" s="1" t="str">
        <f aca="false">IF(R4&gt;=30%,"Alta",IF(R4&gt;=15%,"Media","Baja"))</f>
        <v>Media</v>
      </c>
      <c r="T4" s="1" t="str">
        <f aca="false">IF(O4&gt;=10000,"Grande",IF(O4&gt;=5000,"Mediana","Pequeña"))</f>
        <v>Mediana</v>
      </c>
      <c r="U4" s="1" t="str">
        <f aca="false">IF(AND(N4="Estratégico",R4&gt;=30%),"Alta",IF(OR(AND(N4="Estratégico",R4&lt;30%),AND(N4="Potencial",R4&gt;=30%)),"Media","Baja"))</f>
        <v>Media</v>
      </c>
    </row>
    <row r="5" customFormat="false" ht="15" hidden="false" customHeight="true" outlineLevel="0" collapsed="false">
      <c r="A5" s="3" t="s">
        <v>35</v>
      </c>
      <c r="B5" s="4" t="n">
        <v>46056</v>
      </c>
      <c r="C5" s="1" t="s">
        <v>36</v>
      </c>
      <c r="D5" s="1" t="s">
        <v>37</v>
      </c>
      <c r="E5" s="1" t="s">
        <v>38</v>
      </c>
      <c r="F5" s="1" t="n">
        <v>950</v>
      </c>
      <c r="G5" s="1" t="n">
        <v>7.1</v>
      </c>
      <c r="H5" s="5" t="n">
        <v>4.8</v>
      </c>
      <c r="I5" s="5" t="s">
        <v>39</v>
      </c>
      <c r="J5" s="1" t="str">
        <f aca="false">VLOOKUP(D5,Productos!$A$2:$D$6,2,FALSE())</f>
        <v>Cacao en grano</v>
      </c>
      <c r="K5" s="1" t="str">
        <f aca="false">VLOOKUP(D5,Productos!$A$2:$D$6,3,FALSE())</f>
        <v>Cacao</v>
      </c>
      <c r="L5" s="1" t="str">
        <f aca="false">VLOOKUP(E5,Mercados!$A$2:$D$7,2,FALSE())</f>
        <v>Europa</v>
      </c>
      <c r="M5" s="6" t="n">
        <f aca="false">VLOOKUP(E5,Mercados!$A$2:$D$7,3,FALSE())</f>
        <v>0.1</v>
      </c>
      <c r="N5" s="1" t="str">
        <f aca="false">VLOOKUP(E5,Mercados!$A$2:$D$7,4,FALSE())</f>
        <v>Potencial</v>
      </c>
      <c r="O5" s="5" t="n">
        <f aca="false">F5*G5</f>
        <v>6745</v>
      </c>
      <c r="P5" s="5" t="n">
        <f aca="false">F5*H5</f>
        <v>4560</v>
      </c>
      <c r="Q5" s="5" t="n">
        <f aca="false">O5-P5</f>
        <v>2185</v>
      </c>
      <c r="R5" s="6" t="n">
        <f aca="false">Q5/O5</f>
        <v>0.323943661971831</v>
      </c>
      <c r="S5" s="1" t="str">
        <f aca="false">IF(R5&gt;=30%,"Alta",IF(R5&gt;=15%,"Media","Baja"))</f>
        <v>Alta</v>
      </c>
      <c r="T5" s="1" t="str">
        <f aca="false">IF(O5&gt;=10000,"Grande",IF(O5&gt;=5000,"Mediana","Pequeña"))</f>
        <v>Mediana</v>
      </c>
      <c r="U5" s="1" t="str">
        <f aca="false">IF(AND(N5="Estratégico",R5&gt;=30%),"Alta",IF(OR(AND(N5="Estratégico",R5&lt;30%),AND(N5="Potencial",R5&gt;=30%)),"Media","Baja"))</f>
        <v>Media</v>
      </c>
    </row>
    <row r="6" customFormat="false" ht="15" hidden="false" customHeight="true" outlineLevel="0" collapsed="false">
      <c r="A6" s="3" t="s">
        <v>40</v>
      </c>
      <c r="B6" s="4" t="n">
        <v>46068</v>
      </c>
      <c r="C6" s="1" t="s">
        <v>41</v>
      </c>
      <c r="D6" s="1" t="s">
        <v>42</v>
      </c>
      <c r="E6" s="1" t="s">
        <v>43</v>
      </c>
      <c r="F6" s="1" t="n">
        <v>500</v>
      </c>
      <c r="G6" s="1" t="n">
        <v>12.5</v>
      </c>
      <c r="H6" s="5" t="n">
        <v>8.7</v>
      </c>
      <c r="I6" s="5" t="s">
        <v>30</v>
      </c>
      <c r="J6" s="1" t="str">
        <f aca="false">VLOOKUP(D6,Productos!$A$2:$D$6,2,FALSE())</f>
        <v>Aceite de ajonjolí</v>
      </c>
      <c r="K6" s="1" t="str">
        <f aca="false">VLOOKUP(D6,Productos!$A$2:$D$6,3,FALSE())</f>
        <v>Aceites</v>
      </c>
      <c r="L6" s="1" t="str">
        <f aca="false">VLOOKUP(E6,Mercados!$A$2:$D$7,2,FALSE())</f>
        <v>Norteamérica</v>
      </c>
      <c r="M6" s="6" t="n">
        <f aca="false">VLOOKUP(E6,Mercados!$A$2:$D$7,3,FALSE())</f>
        <v>0.08</v>
      </c>
      <c r="N6" s="1" t="str">
        <f aca="false">VLOOKUP(E6,Mercados!$A$2:$D$7,4,FALSE())</f>
        <v>Potencial</v>
      </c>
      <c r="O6" s="5" t="n">
        <f aca="false">F6*G6</f>
        <v>6250</v>
      </c>
      <c r="P6" s="5" t="n">
        <f aca="false">F6*H6</f>
        <v>4350</v>
      </c>
      <c r="Q6" s="5" t="n">
        <f aca="false">O6-P6</f>
        <v>1900</v>
      </c>
      <c r="R6" s="6" t="n">
        <f aca="false">Q6/O6</f>
        <v>0.304</v>
      </c>
      <c r="S6" s="1" t="str">
        <f aca="false">IF(R6&gt;=30%,"Alta",IF(R6&gt;=15%,"Media","Baja"))</f>
        <v>Alta</v>
      </c>
      <c r="T6" s="1" t="str">
        <f aca="false">IF(O6&gt;=10000,"Grande",IF(O6&gt;=5000,"Mediana","Pequeña"))</f>
        <v>Mediana</v>
      </c>
      <c r="U6" s="1" t="str">
        <f aca="false">IF(AND(N6="Estratégico",R6&gt;=30%),"Alta",IF(OR(AND(N6="Estratégico",R6&lt;30%),AND(N6="Potencial",R6&gt;=30%)),"Media","Baja"))</f>
        <v>Media</v>
      </c>
    </row>
    <row r="7" customFormat="false" ht="15" hidden="false" customHeight="true" outlineLevel="0" collapsed="false">
      <c r="A7" s="3" t="s">
        <v>44</v>
      </c>
      <c r="B7" s="4" t="n">
        <v>46081</v>
      </c>
      <c r="C7" s="1" t="s">
        <v>27</v>
      </c>
      <c r="D7" s="1" t="s">
        <v>23</v>
      </c>
      <c r="E7" s="1" t="s">
        <v>29</v>
      </c>
      <c r="F7" s="1" t="n">
        <v>1400</v>
      </c>
      <c r="G7" s="1" t="n">
        <v>4.8</v>
      </c>
      <c r="H7" s="5" t="n">
        <v>3.2</v>
      </c>
      <c r="I7" s="5" t="s">
        <v>30</v>
      </c>
      <c r="J7" s="1" t="str">
        <f aca="false">VLOOKUP(D7,Productos!$A$2:$D$6,2,FALSE())</f>
        <v>Miel natural</v>
      </c>
      <c r="K7" s="1" t="str">
        <f aca="false">VLOOKUP(D7,Productos!$A$2:$D$6,3,FALSE())</f>
        <v>Apícola</v>
      </c>
      <c r="L7" s="1" t="str">
        <f aca="false">VLOOKUP(E7,Mercados!$A$2:$D$7,2,FALSE())</f>
        <v>Norteamérica</v>
      </c>
      <c r="M7" s="6" t="n">
        <f aca="false">VLOOKUP(E7,Mercados!$A$2:$D$7,3,FALSE())</f>
        <v>0.05</v>
      </c>
      <c r="N7" s="1" t="str">
        <f aca="false">VLOOKUP(E7,Mercados!$A$2:$D$7,4,FALSE())</f>
        <v>Estratégico</v>
      </c>
      <c r="O7" s="5" t="n">
        <f aca="false">F7*G7</f>
        <v>6720</v>
      </c>
      <c r="P7" s="5" t="n">
        <f aca="false">F7*H7</f>
        <v>4480</v>
      </c>
      <c r="Q7" s="5" t="n">
        <f aca="false">O7-P7</f>
        <v>2240</v>
      </c>
      <c r="R7" s="6" t="n">
        <f aca="false">Q7/O7</f>
        <v>0.333333333333333</v>
      </c>
      <c r="S7" s="1" t="str">
        <f aca="false">IF(R7&gt;=30%,"Alta",IF(R7&gt;=15%,"Media","Baja"))</f>
        <v>Alta</v>
      </c>
      <c r="T7" s="1" t="str">
        <f aca="false">IF(O7&gt;=10000,"Grande",IF(O7&gt;=5000,"Mediana","Pequeña"))</f>
        <v>Mediana</v>
      </c>
      <c r="U7" s="1" t="str">
        <f aca="false">IF(AND(N7="Estratégico",R7&gt;=30%),"Alta",IF(OR(AND(N7="Estratégico",R7&lt;30%),AND(N7="Potencial",R7&gt;=30%)),"Media","Baja"))</f>
        <v>Alta</v>
      </c>
    </row>
    <row r="8" customFormat="false" ht="15" hidden="false" customHeight="true" outlineLevel="0" collapsed="false">
      <c r="A8" s="3" t="s">
        <v>45</v>
      </c>
      <c r="B8" s="4" t="n">
        <v>46089</v>
      </c>
      <c r="C8" s="1" t="s">
        <v>32</v>
      </c>
      <c r="D8" s="1" t="s">
        <v>28</v>
      </c>
      <c r="E8" s="1" t="s">
        <v>34</v>
      </c>
      <c r="F8" s="1" t="n">
        <v>900</v>
      </c>
      <c r="G8" s="1" t="n">
        <v>6.5</v>
      </c>
      <c r="H8" s="5" t="n">
        <v>4.1</v>
      </c>
      <c r="I8" s="5" t="s">
        <v>25</v>
      </c>
      <c r="J8" s="1" t="str">
        <f aca="false">VLOOKUP(D8,Productos!$A$2:$D$6,2,FALSE())</f>
        <v>Café especial</v>
      </c>
      <c r="K8" s="1" t="str">
        <f aca="false">VLOOKUP(D8,Productos!$A$2:$D$6,3,FALSE())</f>
        <v>Café</v>
      </c>
      <c r="L8" s="1" t="str">
        <f aca="false">VLOOKUP(E8,Mercados!$A$2:$D$7,2,FALSE())</f>
        <v>Centroamérica</v>
      </c>
      <c r="M8" s="6" t="n">
        <f aca="false">VLOOKUP(E8,Mercados!$A$2:$D$7,3,FALSE())</f>
        <v>0.02</v>
      </c>
      <c r="N8" s="1" t="str">
        <f aca="false">VLOOKUP(E8,Mercados!$A$2:$D$7,4,FALSE())</f>
        <v>Estratégico</v>
      </c>
      <c r="O8" s="5" t="n">
        <f aca="false">F8*G8</f>
        <v>5850</v>
      </c>
      <c r="P8" s="5" t="n">
        <f aca="false">F8*H8</f>
        <v>3690</v>
      </c>
      <c r="Q8" s="5" t="n">
        <f aca="false">O8-P8</f>
        <v>2160</v>
      </c>
      <c r="R8" s="6" t="n">
        <f aca="false">Q8/O8</f>
        <v>0.369230769230769</v>
      </c>
      <c r="S8" s="1" t="str">
        <f aca="false">IF(R8&gt;=30%,"Alta",IF(R8&gt;=15%,"Media","Baja"))</f>
        <v>Alta</v>
      </c>
      <c r="T8" s="1" t="str">
        <f aca="false">IF(O8&gt;=10000,"Grande",IF(O8&gt;=5000,"Mediana","Pequeña"))</f>
        <v>Mediana</v>
      </c>
      <c r="U8" s="1" t="str">
        <f aca="false">IF(AND(N8="Estratégico",R8&gt;=30%),"Alta",IF(OR(AND(N8="Estratégico",R8&lt;30%),AND(N8="Potencial",R8&gt;=30%)),"Media","Baja"))</f>
        <v>Alta</v>
      </c>
    </row>
    <row r="9" customFormat="false" ht="15" hidden="false" customHeight="true" outlineLevel="0" collapsed="false">
      <c r="A9" s="3" t="s">
        <v>46</v>
      </c>
      <c r="B9" s="4" t="n">
        <v>46099</v>
      </c>
      <c r="C9" s="1" t="s">
        <v>22</v>
      </c>
      <c r="D9" s="1" t="s">
        <v>33</v>
      </c>
      <c r="E9" s="1" t="s">
        <v>24</v>
      </c>
      <c r="F9" s="1" t="n">
        <v>750</v>
      </c>
      <c r="G9" s="1" t="n">
        <v>8.2</v>
      </c>
      <c r="H9" s="5" t="n">
        <v>5.9</v>
      </c>
      <c r="I9" s="5" t="s">
        <v>30</v>
      </c>
      <c r="J9" s="1" t="str">
        <f aca="false">VLOOKUP(D9,Productos!$A$2:$D$6,2,FALSE())</f>
        <v>Maní procesado</v>
      </c>
      <c r="K9" s="1" t="str">
        <f aca="false">VLOOKUP(D9,Productos!$A$2:$D$6,3,FALSE())</f>
        <v>Semillas</v>
      </c>
      <c r="L9" s="1" t="str">
        <f aca="false">VLOOKUP(E9,Mercados!$A$2:$D$7,2,FALSE())</f>
        <v>Centroamérica</v>
      </c>
      <c r="M9" s="6" t="n">
        <f aca="false">VLOOKUP(E9,Mercados!$A$2:$D$7,3,FALSE())</f>
        <v>0.03</v>
      </c>
      <c r="N9" s="1" t="str">
        <f aca="false">VLOOKUP(E9,Mercados!$A$2:$D$7,4,FALSE())</f>
        <v>Estratégico</v>
      </c>
      <c r="O9" s="5" t="n">
        <f aca="false">F9*G9</f>
        <v>6150</v>
      </c>
      <c r="P9" s="5" t="n">
        <f aca="false">F9*H9</f>
        <v>4425</v>
      </c>
      <c r="Q9" s="5" t="n">
        <f aca="false">O9-P9</f>
        <v>1725</v>
      </c>
      <c r="R9" s="6" t="n">
        <f aca="false">Q9/O9</f>
        <v>0.280487804878049</v>
      </c>
      <c r="S9" s="1" t="str">
        <f aca="false">IF(R9&gt;=30%,"Alta",IF(R9&gt;=15%,"Media","Baja"))</f>
        <v>Media</v>
      </c>
      <c r="T9" s="1" t="str">
        <f aca="false">IF(O9&gt;=10000,"Grande",IF(O9&gt;=5000,"Mediana","Pequeña"))</f>
        <v>Mediana</v>
      </c>
      <c r="U9" s="1" t="str">
        <f aca="false">IF(AND(N9="Estratégico",R9&gt;=30%),"Alta",IF(OR(AND(N9="Estratégico",R9&lt;30%),AND(N9="Potencial",R9&gt;=30%)),"Media","Baja"))</f>
        <v>Media</v>
      </c>
    </row>
    <row r="10" customFormat="false" ht="15" hidden="false" customHeight="true" outlineLevel="0" collapsed="false">
      <c r="A10" s="3" t="s">
        <v>47</v>
      </c>
      <c r="B10" s="4" t="n">
        <v>46106</v>
      </c>
      <c r="C10" s="1" t="s">
        <v>36</v>
      </c>
      <c r="D10" s="1" t="s">
        <v>42</v>
      </c>
      <c r="E10" s="1" t="s">
        <v>38</v>
      </c>
      <c r="F10" s="1" t="n">
        <v>600</v>
      </c>
      <c r="G10" s="1" t="n">
        <v>12.5</v>
      </c>
      <c r="H10" s="5" t="n">
        <v>8.7</v>
      </c>
      <c r="I10" s="5" t="s">
        <v>25</v>
      </c>
      <c r="J10" s="1" t="str">
        <f aca="false">VLOOKUP(D10,Productos!$A$2:$D$6,2,FALSE())</f>
        <v>Aceite de ajonjolí</v>
      </c>
      <c r="K10" s="1" t="str">
        <f aca="false">VLOOKUP(D10,Productos!$A$2:$D$6,3,FALSE())</f>
        <v>Aceites</v>
      </c>
      <c r="L10" s="1" t="str">
        <f aca="false">VLOOKUP(E10,Mercados!$A$2:$D$7,2,FALSE())</f>
        <v>Europa</v>
      </c>
      <c r="M10" s="6" t="n">
        <f aca="false">VLOOKUP(E10,Mercados!$A$2:$D$7,3,FALSE())</f>
        <v>0.1</v>
      </c>
      <c r="N10" s="1" t="str">
        <f aca="false">VLOOKUP(E10,Mercados!$A$2:$D$7,4,FALSE())</f>
        <v>Potencial</v>
      </c>
      <c r="O10" s="5" t="n">
        <f aca="false">F10*G10</f>
        <v>7500</v>
      </c>
      <c r="P10" s="5" t="n">
        <f aca="false">F10*H10</f>
        <v>5220</v>
      </c>
      <c r="Q10" s="5" t="n">
        <f aca="false">O10-P10</f>
        <v>2280</v>
      </c>
      <c r="R10" s="6" t="n">
        <f aca="false">Q10/O10</f>
        <v>0.304</v>
      </c>
      <c r="S10" s="1" t="str">
        <f aca="false">IF(R10&gt;=30%,"Alta",IF(R10&gt;=15%,"Media","Baja"))</f>
        <v>Alta</v>
      </c>
      <c r="T10" s="1" t="str">
        <f aca="false">IF(O10&gt;=10000,"Grande",IF(O10&gt;=5000,"Mediana","Pequeña"))</f>
        <v>Mediana</v>
      </c>
      <c r="U10" s="1" t="str">
        <f aca="false">IF(AND(N10="Estratégico",R10&gt;=30%),"Alta",IF(OR(AND(N10="Estratégico",R10&lt;30%),AND(N10="Potencial",R10&gt;=30%)),"Media","Baja"))</f>
        <v>Media</v>
      </c>
    </row>
    <row r="11" customFormat="false" ht="15" hidden="false" customHeight="true" outlineLevel="0" collapsed="false">
      <c r="A11" s="3" t="s">
        <v>48</v>
      </c>
      <c r="B11" s="4" t="n">
        <v>46114</v>
      </c>
      <c r="C11" s="1" t="s">
        <v>41</v>
      </c>
      <c r="D11" s="1" t="s">
        <v>37</v>
      </c>
      <c r="E11" s="1" t="s">
        <v>43</v>
      </c>
      <c r="F11" s="1" t="n">
        <v>1100</v>
      </c>
      <c r="G11" s="1" t="n">
        <v>7.1</v>
      </c>
      <c r="H11" s="5" t="n">
        <v>4.8</v>
      </c>
      <c r="I11" s="5" t="s">
        <v>30</v>
      </c>
      <c r="J11" s="1" t="str">
        <f aca="false">VLOOKUP(D11,Productos!$A$2:$D$6,2,FALSE())</f>
        <v>Cacao en grano</v>
      </c>
      <c r="K11" s="1" t="str">
        <f aca="false">VLOOKUP(D11,Productos!$A$2:$D$6,3,FALSE())</f>
        <v>Cacao</v>
      </c>
      <c r="L11" s="1" t="str">
        <f aca="false">VLOOKUP(E11,Mercados!$A$2:$D$7,2,FALSE())</f>
        <v>Norteamérica</v>
      </c>
      <c r="M11" s="6" t="n">
        <f aca="false">VLOOKUP(E11,Mercados!$A$2:$D$7,3,FALSE())</f>
        <v>0.08</v>
      </c>
      <c r="N11" s="1" t="str">
        <f aca="false">VLOOKUP(E11,Mercados!$A$2:$D$7,4,FALSE())</f>
        <v>Potencial</v>
      </c>
      <c r="O11" s="5" t="n">
        <f aca="false">F11*G11</f>
        <v>7810</v>
      </c>
      <c r="P11" s="5" t="n">
        <f aca="false">F11*H11</f>
        <v>5280</v>
      </c>
      <c r="Q11" s="5" t="n">
        <f aca="false">O11-P11</f>
        <v>2530</v>
      </c>
      <c r="R11" s="6" t="n">
        <f aca="false">Q11/O11</f>
        <v>0.323943661971831</v>
      </c>
      <c r="S11" s="1" t="str">
        <f aca="false">IF(R11&gt;=30%,"Alta",IF(R11&gt;=15%,"Media","Baja"))</f>
        <v>Alta</v>
      </c>
      <c r="T11" s="1" t="str">
        <f aca="false">IF(O11&gt;=10000,"Grande",IF(O11&gt;=5000,"Mediana","Pequeña"))</f>
        <v>Mediana</v>
      </c>
      <c r="U11" s="1" t="str">
        <f aca="false">IF(AND(N11="Estratégico",R11&gt;=30%),"Alta",IF(OR(AND(N11="Estratégico",R11&lt;30%),AND(N11="Potencial",R11&gt;=30%)),"Media","Baja"))</f>
        <v>Media</v>
      </c>
    </row>
    <row r="12" customFormat="false" ht="15" hidden="false" customHeight="true" outlineLevel="0" collapsed="false">
      <c r="A12" s="3" t="s">
        <v>49</v>
      </c>
      <c r="B12" s="4" t="n">
        <v>46122</v>
      </c>
      <c r="C12" s="1" t="s">
        <v>27</v>
      </c>
      <c r="D12" s="1" t="s">
        <v>33</v>
      </c>
      <c r="E12" s="1" t="s">
        <v>29</v>
      </c>
      <c r="F12" s="1" t="n">
        <v>1300</v>
      </c>
      <c r="G12" s="1" t="n">
        <v>8.2</v>
      </c>
      <c r="H12" s="5" t="n">
        <v>5.9</v>
      </c>
      <c r="I12" s="5" t="s">
        <v>30</v>
      </c>
      <c r="J12" s="1" t="str">
        <f aca="false">VLOOKUP(D12,Productos!$A$2:$D$6,2,FALSE())</f>
        <v>Maní procesado</v>
      </c>
      <c r="K12" s="1" t="str">
        <f aca="false">VLOOKUP(D12,Productos!$A$2:$D$6,3,FALSE())</f>
        <v>Semillas</v>
      </c>
      <c r="L12" s="1" t="str">
        <f aca="false">VLOOKUP(E12,Mercados!$A$2:$D$7,2,FALSE())</f>
        <v>Norteamérica</v>
      </c>
      <c r="M12" s="6" t="n">
        <f aca="false">VLOOKUP(E12,Mercados!$A$2:$D$7,3,FALSE())</f>
        <v>0.05</v>
      </c>
      <c r="N12" s="1" t="str">
        <f aca="false">VLOOKUP(E12,Mercados!$A$2:$D$7,4,FALSE())</f>
        <v>Estratégico</v>
      </c>
      <c r="O12" s="5" t="n">
        <f aca="false">F12*G12</f>
        <v>10660</v>
      </c>
      <c r="P12" s="5" t="n">
        <f aca="false">F12*H12</f>
        <v>7670</v>
      </c>
      <c r="Q12" s="5" t="n">
        <f aca="false">O12-P12</f>
        <v>2990</v>
      </c>
      <c r="R12" s="6" t="n">
        <f aca="false">Q12/O12</f>
        <v>0.280487804878049</v>
      </c>
      <c r="S12" s="1" t="str">
        <f aca="false">IF(R12&gt;=30%,"Alta",IF(R12&gt;=15%,"Media","Baja"))</f>
        <v>Media</v>
      </c>
      <c r="T12" s="1" t="str">
        <f aca="false">IF(O12&gt;=10000,"Grande",IF(O12&gt;=5000,"Mediana","Pequeña"))</f>
        <v>Grande</v>
      </c>
      <c r="U12" s="1" t="str">
        <f aca="false">IF(AND(N12="Estratégico",R12&gt;=30%),"Alta",IF(OR(AND(N12="Estratégico",R12&lt;30%),AND(N12="Potencial",R12&gt;=30%)),"Media","Baja"))</f>
        <v>Media</v>
      </c>
    </row>
    <row r="13" customFormat="false" ht="15" hidden="false" customHeight="true" outlineLevel="0" collapsed="false">
      <c r="A13" s="3" t="s">
        <v>50</v>
      </c>
      <c r="B13" s="4" t="n">
        <v>46130</v>
      </c>
      <c r="C13" s="1" t="s">
        <v>22</v>
      </c>
      <c r="D13" s="1" t="s">
        <v>28</v>
      </c>
      <c r="E13" s="1" t="s">
        <v>24</v>
      </c>
      <c r="F13" s="1" t="n">
        <v>700</v>
      </c>
      <c r="G13" s="1" t="n">
        <v>6.5</v>
      </c>
      <c r="H13" s="5" t="n">
        <v>4.1</v>
      </c>
      <c r="I13" s="5" t="s">
        <v>39</v>
      </c>
      <c r="J13" s="1" t="str">
        <f aca="false">VLOOKUP(D13,Productos!$A$2:$D$6,2,FALSE())</f>
        <v>Café especial</v>
      </c>
      <c r="K13" s="1" t="str">
        <f aca="false">VLOOKUP(D13,Productos!$A$2:$D$6,3,FALSE())</f>
        <v>Café</v>
      </c>
      <c r="L13" s="1" t="str">
        <f aca="false">VLOOKUP(E13,Mercados!$A$2:$D$7,2,FALSE())</f>
        <v>Centroamérica</v>
      </c>
      <c r="M13" s="6" t="n">
        <f aca="false">VLOOKUP(E13,Mercados!$A$2:$D$7,3,FALSE())</f>
        <v>0.03</v>
      </c>
      <c r="N13" s="1" t="str">
        <f aca="false">VLOOKUP(E13,Mercados!$A$2:$D$7,4,FALSE())</f>
        <v>Estratégico</v>
      </c>
      <c r="O13" s="5" t="n">
        <f aca="false">F13*G13</f>
        <v>4550</v>
      </c>
      <c r="P13" s="5" t="n">
        <f aca="false">F13*H13</f>
        <v>2870</v>
      </c>
      <c r="Q13" s="5" t="n">
        <f aca="false">O13-P13</f>
        <v>1680</v>
      </c>
      <c r="R13" s="6" t="n">
        <f aca="false">Q13/O13</f>
        <v>0.369230769230769</v>
      </c>
      <c r="S13" s="1" t="str">
        <f aca="false">IF(R13&gt;=30%,"Alta",IF(R13&gt;=15%,"Media","Baja"))</f>
        <v>Alta</v>
      </c>
      <c r="T13" s="1" t="str">
        <f aca="false">IF(O13&gt;=10000,"Grande",IF(O13&gt;=5000,"Mediana","Pequeña"))</f>
        <v>Pequeña</v>
      </c>
      <c r="U13" s="1" t="str">
        <f aca="false">IF(AND(N13="Estratégico",R13&gt;=30%),"Alta",IF(OR(AND(N13="Estratégico",R13&lt;30%),AND(N13="Potencial",R13&gt;=30%)),"Media","Baja"))</f>
        <v>Alta</v>
      </c>
    </row>
    <row r="14" customFormat="false" ht="15" hidden="false" customHeight="true" outlineLevel="0" collapsed="false">
      <c r="A14" s="3" t="s">
        <v>51</v>
      </c>
      <c r="B14" s="4" t="n">
        <v>46139</v>
      </c>
      <c r="C14" s="1" t="s">
        <v>32</v>
      </c>
      <c r="D14" s="1" t="s">
        <v>42</v>
      </c>
      <c r="E14" s="1" t="s">
        <v>34</v>
      </c>
      <c r="F14" s="1" t="n">
        <v>450</v>
      </c>
      <c r="G14" s="1" t="n">
        <v>12.5</v>
      </c>
      <c r="H14" s="5" t="n">
        <v>8.7</v>
      </c>
      <c r="I14" s="5" t="s">
        <v>25</v>
      </c>
      <c r="J14" s="1" t="str">
        <f aca="false">VLOOKUP(D14,Productos!$A$2:$D$6,2,FALSE())</f>
        <v>Aceite de ajonjolí</v>
      </c>
      <c r="K14" s="1" t="str">
        <f aca="false">VLOOKUP(D14,Productos!$A$2:$D$6,3,FALSE())</f>
        <v>Aceites</v>
      </c>
      <c r="L14" s="1" t="str">
        <f aca="false">VLOOKUP(E14,Mercados!$A$2:$D$7,2,FALSE())</f>
        <v>Centroamérica</v>
      </c>
      <c r="M14" s="6" t="n">
        <f aca="false">VLOOKUP(E14,Mercados!$A$2:$D$7,3,FALSE())</f>
        <v>0.02</v>
      </c>
      <c r="N14" s="1" t="str">
        <f aca="false">VLOOKUP(E14,Mercados!$A$2:$D$7,4,FALSE())</f>
        <v>Estratégico</v>
      </c>
      <c r="O14" s="5" t="n">
        <f aca="false">F14*G14</f>
        <v>5625</v>
      </c>
      <c r="P14" s="5" t="n">
        <f aca="false">F14*H14</f>
        <v>3915</v>
      </c>
      <c r="Q14" s="5" t="n">
        <f aca="false">O14-P14</f>
        <v>1710</v>
      </c>
      <c r="R14" s="6" t="n">
        <f aca="false">Q14/O14</f>
        <v>0.304</v>
      </c>
      <c r="S14" s="1" t="str">
        <f aca="false">IF(R14&gt;=30%,"Alta",IF(R14&gt;=15%,"Media","Baja"))</f>
        <v>Alta</v>
      </c>
      <c r="T14" s="1" t="str">
        <f aca="false">IF(O14&gt;=10000,"Grande",IF(O14&gt;=5000,"Mediana","Pequeña"))</f>
        <v>Mediana</v>
      </c>
      <c r="U14" s="1" t="str">
        <f aca="false">IF(AND(N14="Estratégico",R14&gt;=30%),"Alta",IF(OR(AND(N14="Estratégico",R14&lt;30%),AND(N14="Potencial",R14&gt;=30%)),"Media","Baja"))</f>
        <v>Alta</v>
      </c>
    </row>
    <row r="15" customFormat="false" ht="15" hidden="false" customHeight="true" outlineLevel="0" collapsed="false">
      <c r="A15" s="3" t="s">
        <v>52</v>
      </c>
      <c r="B15" s="4" t="n">
        <v>46147</v>
      </c>
      <c r="C15" s="1" t="s">
        <v>36</v>
      </c>
      <c r="D15" s="1" t="s">
        <v>23</v>
      </c>
      <c r="E15" s="1" t="s">
        <v>38</v>
      </c>
      <c r="F15" s="1" t="n">
        <v>1000</v>
      </c>
      <c r="G15" s="1" t="n">
        <v>4.8</v>
      </c>
      <c r="H15" s="5" t="n">
        <v>3.2</v>
      </c>
      <c r="I15" s="5" t="s">
        <v>30</v>
      </c>
      <c r="J15" s="1" t="str">
        <f aca="false">VLOOKUP(D15,Productos!$A$2:$D$6,2,FALSE())</f>
        <v>Miel natural</v>
      </c>
      <c r="K15" s="1" t="str">
        <f aca="false">VLOOKUP(D15,Productos!$A$2:$D$6,3,FALSE())</f>
        <v>Apícola</v>
      </c>
      <c r="L15" s="1" t="str">
        <f aca="false">VLOOKUP(E15,Mercados!$A$2:$D$7,2,FALSE())</f>
        <v>Europa</v>
      </c>
      <c r="M15" s="6" t="n">
        <f aca="false">VLOOKUP(E15,Mercados!$A$2:$D$7,3,FALSE())</f>
        <v>0.1</v>
      </c>
      <c r="N15" s="1" t="str">
        <f aca="false">VLOOKUP(E15,Mercados!$A$2:$D$7,4,FALSE())</f>
        <v>Potencial</v>
      </c>
      <c r="O15" s="5" t="n">
        <f aca="false">F15*G15</f>
        <v>4800</v>
      </c>
      <c r="P15" s="5" t="n">
        <f aca="false">F15*H15</f>
        <v>3200</v>
      </c>
      <c r="Q15" s="5" t="n">
        <f aca="false">O15-P15</f>
        <v>1600</v>
      </c>
      <c r="R15" s="6" t="n">
        <f aca="false">Q15/O15</f>
        <v>0.333333333333333</v>
      </c>
      <c r="S15" s="1" t="str">
        <f aca="false">IF(R15&gt;=30%,"Alta",IF(R15&gt;=15%,"Media","Baja"))</f>
        <v>Alta</v>
      </c>
      <c r="T15" s="1" t="str">
        <f aca="false">IF(O15&gt;=10000,"Grande",IF(O15&gt;=5000,"Mediana","Pequeña"))</f>
        <v>Pequeña</v>
      </c>
      <c r="U15" s="1" t="str">
        <f aca="false">IF(AND(N15="Estratégico",R15&gt;=30%),"Alta",IF(OR(AND(N15="Estratégico",R15&lt;30%),AND(N15="Potencial",R15&gt;=30%)),"Media","Baja"))</f>
        <v>Media</v>
      </c>
    </row>
    <row r="16" customFormat="false" ht="15" hidden="false" customHeight="true" outlineLevel="0" collapsed="false">
      <c r="A16" s="3" t="s">
        <v>53</v>
      </c>
      <c r="B16" s="4" t="n">
        <v>46156</v>
      </c>
      <c r="C16" s="1" t="s">
        <v>41</v>
      </c>
      <c r="D16" s="1" t="s">
        <v>28</v>
      </c>
      <c r="E16" s="1" t="s">
        <v>43</v>
      </c>
      <c r="F16" s="1" t="n">
        <v>850</v>
      </c>
      <c r="G16" s="1" t="n">
        <v>6.5</v>
      </c>
      <c r="H16" s="5" t="n">
        <v>4.1</v>
      </c>
      <c r="I16" s="5" t="s">
        <v>25</v>
      </c>
      <c r="J16" s="1" t="str">
        <f aca="false">VLOOKUP(D16,Productos!$A$2:$D$6,2,FALSE())</f>
        <v>Café especial</v>
      </c>
      <c r="K16" s="1" t="str">
        <f aca="false">VLOOKUP(D16,Productos!$A$2:$D$6,3,FALSE())</f>
        <v>Café</v>
      </c>
      <c r="L16" s="1" t="str">
        <f aca="false">VLOOKUP(E16,Mercados!$A$2:$D$7,2,FALSE())</f>
        <v>Norteamérica</v>
      </c>
      <c r="M16" s="6" t="n">
        <f aca="false">VLOOKUP(E16,Mercados!$A$2:$D$7,3,FALSE())</f>
        <v>0.08</v>
      </c>
      <c r="N16" s="1" t="str">
        <f aca="false">VLOOKUP(E16,Mercados!$A$2:$D$7,4,FALSE())</f>
        <v>Potencial</v>
      </c>
      <c r="O16" s="5" t="n">
        <f aca="false">F16*G16</f>
        <v>5525</v>
      </c>
      <c r="P16" s="5" t="n">
        <f aca="false">F16*H16</f>
        <v>3485</v>
      </c>
      <c r="Q16" s="5" t="n">
        <f aca="false">O16-P16</f>
        <v>2040</v>
      </c>
      <c r="R16" s="6" t="n">
        <f aca="false">Q16/O16</f>
        <v>0.369230769230769</v>
      </c>
      <c r="S16" s="1" t="str">
        <f aca="false">IF(R16&gt;=30%,"Alta",IF(R16&gt;=15%,"Media","Baja"))</f>
        <v>Alta</v>
      </c>
      <c r="T16" s="1" t="str">
        <f aca="false">IF(O16&gt;=10000,"Grande",IF(O16&gt;=5000,"Mediana","Pequeña"))</f>
        <v>Mediana</v>
      </c>
      <c r="U16" s="1" t="str">
        <f aca="false">IF(AND(N16="Estratégico",R16&gt;=30%),"Alta",IF(OR(AND(N16="Estratégico",R16&lt;30%),AND(N16="Potencial",R16&gt;=30%)),"Media","Baja"))</f>
        <v>Media</v>
      </c>
    </row>
    <row r="17" customFormat="false" ht="15" hidden="false" customHeight="true" outlineLevel="0" collapsed="false">
      <c r="A17" s="3" t="s">
        <v>54</v>
      </c>
      <c r="B17" s="4" t="n">
        <v>46164</v>
      </c>
      <c r="C17" s="1" t="s">
        <v>27</v>
      </c>
      <c r="D17" s="1" t="s">
        <v>37</v>
      </c>
      <c r="E17" s="1" t="s">
        <v>29</v>
      </c>
      <c r="F17" s="1" t="n">
        <v>1250</v>
      </c>
      <c r="G17" s="1" t="n">
        <v>7.1</v>
      </c>
      <c r="H17" s="5" t="n">
        <v>4.8</v>
      </c>
      <c r="I17" s="5" t="s">
        <v>30</v>
      </c>
      <c r="J17" s="1" t="str">
        <f aca="false">VLOOKUP(D17,Productos!$A$2:$D$6,2,FALSE())</f>
        <v>Cacao en grano</v>
      </c>
      <c r="K17" s="1" t="str">
        <f aca="false">VLOOKUP(D17,Productos!$A$2:$D$6,3,FALSE())</f>
        <v>Cacao</v>
      </c>
      <c r="L17" s="1" t="str">
        <f aca="false">VLOOKUP(E17,Mercados!$A$2:$D$7,2,FALSE())</f>
        <v>Norteamérica</v>
      </c>
      <c r="M17" s="6" t="n">
        <f aca="false">VLOOKUP(E17,Mercados!$A$2:$D$7,3,FALSE())</f>
        <v>0.05</v>
      </c>
      <c r="N17" s="1" t="str">
        <f aca="false">VLOOKUP(E17,Mercados!$A$2:$D$7,4,FALSE())</f>
        <v>Estratégico</v>
      </c>
      <c r="O17" s="5" t="n">
        <f aca="false">F17*G17</f>
        <v>8875</v>
      </c>
      <c r="P17" s="5" t="n">
        <f aca="false">F17*H17</f>
        <v>6000</v>
      </c>
      <c r="Q17" s="5" t="n">
        <f aca="false">O17-P17</f>
        <v>2875</v>
      </c>
      <c r="R17" s="6" t="n">
        <f aca="false">Q17/O17</f>
        <v>0.323943661971831</v>
      </c>
      <c r="S17" s="1" t="str">
        <f aca="false">IF(R17&gt;=30%,"Alta",IF(R17&gt;=15%,"Media","Baja"))</f>
        <v>Alta</v>
      </c>
      <c r="T17" s="1" t="str">
        <f aca="false">IF(O17&gt;=10000,"Grande",IF(O17&gt;=5000,"Mediana","Pequeña"))</f>
        <v>Mediana</v>
      </c>
      <c r="U17" s="1" t="str">
        <f aca="false">IF(AND(N17="Estratégico",R17&gt;=30%),"Alta",IF(OR(AND(N17="Estratégico",R17&lt;30%),AND(N17="Potencial",R17&gt;=30%)),"Media","Baja"))</f>
        <v>Alta</v>
      </c>
    </row>
    <row r="18" customFormat="false" ht="15" hidden="false" customHeight="true" outlineLevel="0" collapsed="false">
      <c r="A18" s="3" t="s">
        <v>55</v>
      </c>
      <c r="B18" s="4" t="n">
        <v>46172</v>
      </c>
      <c r="C18" s="1" t="s">
        <v>22</v>
      </c>
      <c r="D18" s="1" t="s">
        <v>42</v>
      </c>
      <c r="E18" s="1" t="s">
        <v>24</v>
      </c>
      <c r="F18" s="1" t="n">
        <v>550</v>
      </c>
      <c r="G18" s="1" t="n">
        <v>12.5</v>
      </c>
      <c r="H18" s="5" t="n">
        <v>8.7</v>
      </c>
      <c r="I18" s="5" t="s">
        <v>25</v>
      </c>
      <c r="J18" s="1" t="str">
        <f aca="false">VLOOKUP(D18,Productos!$A$2:$D$6,2,FALSE())</f>
        <v>Aceite de ajonjolí</v>
      </c>
      <c r="K18" s="1" t="str">
        <f aca="false">VLOOKUP(D18,Productos!$A$2:$D$6,3,FALSE())</f>
        <v>Aceites</v>
      </c>
      <c r="L18" s="1" t="str">
        <f aca="false">VLOOKUP(E18,Mercados!$A$2:$D$7,2,FALSE())</f>
        <v>Centroamérica</v>
      </c>
      <c r="M18" s="6" t="n">
        <f aca="false">VLOOKUP(E18,Mercados!$A$2:$D$7,3,FALSE())</f>
        <v>0.03</v>
      </c>
      <c r="N18" s="1" t="str">
        <f aca="false">VLOOKUP(E18,Mercados!$A$2:$D$7,4,FALSE())</f>
        <v>Estratégico</v>
      </c>
      <c r="O18" s="5" t="n">
        <f aca="false">F18*G18</f>
        <v>6875</v>
      </c>
      <c r="P18" s="5" t="n">
        <f aca="false">F18*H18</f>
        <v>4785</v>
      </c>
      <c r="Q18" s="5" t="n">
        <f aca="false">O18-P18</f>
        <v>2090</v>
      </c>
      <c r="R18" s="6" t="n">
        <f aca="false">Q18/O18</f>
        <v>0.304</v>
      </c>
      <c r="S18" s="1" t="str">
        <f aca="false">IF(R18&gt;=30%,"Alta",IF(R18&gt;=15%,"Media","Baja"))</f>
        <v>Alta</v>
      </c>
      <c r="T18" s="1" t="str">
        <f aca="false">IF(O18&gt;=10000,"Grande",IF(O18&gt;=5000,"Mediana","Pequeña"))</f>
        <v>Mediana</v>
      </c>
      <c r="U18" s="1" t="str">
        <f aca="false">IF(AND(N18="Estratégico",R18&gt;=30%),"Alta",IF(OR(AND(N18="Estratégico",R18&lt;30%),AND(N18="Potencial",R18&gt;=30%)),"Media","Baja"))</f>
        <v>Alta</v>
      </c>
    </row>
    <row r="19" customFormat="false" ht="15" hidden="false" customHeight="true" outlineLevel="0" collapsed="false">
      <c r="A19" s="3" t="s">
        <v>56</v>
      </c>
      <c r="B19" s="4" t="n">
        <v>46180</v>
      </c>
      <c r="C19" s="1" t="s">
        <v>32</v>
      </c>
      <c r="D19" s="1" t="s">
        <v>23</v>
      </c>
      <c r="E19" s="1" t="s">
        <v>34</v>
      </c>
      <c r="F19" s="1" t="n">
        <v>800</v>
      </c>
      <c r="G19" s="1" t="n">
        <v>4.8</v>
      </c>
      <c r="H19" s="5" t="n">
        <v>3.2</v>
      </c>
      <c r="I19" s="5" t="s">
        <v>30</v>
      </c>
      <c r="J19" s="1" t="str">
        <f aca="false">VLOOKUP(D19,Productos!$A$2:$D$6,2,FALSE())</f>
        <v>Miel natural</v>
      </c>
      <c r="K19" s="1" t="str">
        <f aca="false">VLOOKUP(D19,Productos!$A$2:$D$6,3,FALSE())</f>
        <v>Apícola</v>
      </c>
      <c r="L19" s="1" t="str">
        <f aca="false">VLOOKUP(E19,Mercados!$A$2:$D$7,2,FALSE())</f>
        <v>Centroamérica</v>
      </c>
      <c r="M19" s="6" t="n">
        <f aca="false">VLOOKUP(E19,Mercados!$A$2:$D$7,3,FALSE())</f>
        <v>0.02</v>
      </c>
      <c r="N19" s="1" t="str">
        <f aca="false">VLOOKUP(E19,Mercados!$A$2:$D$7,4,FALSE())</f>
        <v>Estratégico</v>
      </c>
      <c r="O19" s="5" t="n">
        <f aca="false">F19*G19</f>
        <v>3840</v>
      </c>
      <c r="P19" s="5" t="n">
        <f aca="false">F19*H19</f>
        <v>2560</v>
      </c>
      <c r="Q19" s="5" t="n">
        <f aca="false">O19-P19</f>
        <v>1280</v>
      </c>
      <c r="R19" s="6" t="n">
        <f aca="false">Q19/O19</f>
        <v>0.333333333333333</v>
      </c>
      <c r="S19" s="1" t="str">
        <f aca="false">IF(R19&gt;=30%,"Alta",IF(R19&gt;=15%,"Media","Baja"))</f>
        <v>Alta</v>
      </c>
      <c r="T19" s="1" t="str">
        <f aca="false">IF(O19&gt;=10000,"Grande",IF(O19&gt;=5000,"Mediana","Pequeña"))</f>
        <v>Pequeña</v>
      </c>
      <c r="U19" s="1" t="str">
        <f aca="false">IF(AND(N19="Estratégico",R19&gt;=30%),"Alta",IF(OR(AND(N19="Estratégico",R19&lt;30%),AND(N19="Potencial",R19&gt;=30%)),"Media","Baja"))</f>
        <v>Alta</v>
      </c>
    </row>
    <row r="20" customFormat="false" ht="15" hidden="false" customHeight="true" outlineLevel="0" collapsed="false">
      <c r="A20" s="3" t="s">
        <v>57</v>
      </c>
      <c r="B20" s="4" t="n">
        <v>46189</v>
      </c>
      <c r="C20" s="1" t="s">
        <v>36</v>
      </c>
      <c r="D20" s="1" t="s">
        <v>33</v>
      </c>
      <c r="E20" s="1" t="s">
        <v>38</v>
      </c>
      <c r="F20" s="1" t="n">
        <v>900</v>
      </c>
      <c r="G20" s="1" t="n">
        <v>8.2</v>
      </c>
      <c r="H20" s="5" t="n">
        <v>5.9</v>
      </c>
      <c r="I20" s="5" t="s">
        <v>39</v>
      </c>
      <c r="J20" s="1" t="str">
        <f aca="false">VLOOKUP(D20,Productos!$A$2:$D$6,2,FALSE())</f>
        <v>Maní procesado</v>
      </c>
      <c r="K20" s="1" t="str">
        <f aca="false">VLOOKUP(D20,Productos!$A$2:$D$6,3,FALSE())</f>
        <v>Semillas</v>
      </c>
      <c r="L20" s="1" t="str">
        <f aca="false">VLOOKUP(E20,Mercados!$A$2:$D$7,2,FALSE())</f>
        <v>Europa</v>
      </c>
      <c r="M20" s="6" t="n">
        <f aca="false">VLOOKUP(E20,Mercados!$A$2:$D$7,3,FALSE())</f>
        <v>0.1</v>
      </c>
      <c r="N20" s="1" t="str">
        <f aca="false">VLOOKUP(E20,Mercados!$A$2:$D$7,4,FALSE())</f>
        <v>Potencial</v>
      </c>
      <c r="O20" s="5" t="n">
        <f aca="false">F20*G20</f>
        <v>7380</v>
      </c>
      <c r="P20" s="5" t="n">
        <f aca="false">F20*H20</f>
        <v>5310</v>
      </c>
      <c r="Q20" s="5" t="n">
        <f aca="false">O20-P20</f>
        <v>2070</v>
      </c>
      <c r="R20" s="6" t="n">
        <f aca="false">Q20/O20</f>
        <v>0.280487804878049</v>
      </c>
      <c r="S20" s="1" t="str">
        <f aca="false">IF(R20&gt;=30%,"Alta",IF(R20&gt;=15%,"Media","Baja"))</f>
        <v>Media</v>
      </c>
      <c r="T20" s="1" t="str">
        <f aca="false">IF(O20&gt;=10000,"Grande",IF(O20&gt;=5000,"Mediana","Pequeña"))</f>
        <v>Mediana</v>
      </c>
      <c r="U20" s="1" t="str">
        <f aca="false">IF(AND(N20="Estratégico",R20&gt;=30%),"Alta",IF(OR(AND(N20="Estratégico",R20&lt;30%),AND(N20="Potencial",R20&gt;=30%)),"Media","Baja"))</f>
        <v>Baja</v>
      </c>
    </row>
    <row r="21" customFormat="false" ht="15" hidden="false" customHeight="true" outlineLevel="0" collapsed="false">
      <c r="A21" s="3" t="s">
        <v>58</v>
      </c>
      <c r="B21" s="4" t="n">
        <v>46198</v>
      </c>
      <c r="C21" s="1" t="s">
        <v>41</v>
      </c>
      <c r="D21" s="1" t="s">
        <v>42</v>
      </c>
      <c r="E21" s="1" t="s">
        <v>43</v>
      </c>
      <c r="F21" s="1" t="n">
        <v>650</v>
      </c>
      <c r="G21" s="1" t="n">
        <v>12.5</v>
      </c>
      <c r="H21" s="5" t="n">
        <v>8.7</v>
      </c>
      <c r="I21" s="5" t="s">
        <v>30</v>
      </c>
      <c r="J21" s="1" t="str">
        <f aca="false">VLOOKUP(D21,Productos!$A$2:$D$6,2,FALSE())</f>
        <v>Aceite de ajonjolí</v>
      </c>
      <c r="K21" s="1" t="str">
        <f aca="false">VLOOKUP(D21,Productos!$A$2:$D$6,3,FALSE())</f>
        <v>Aceites</v>
      </c>
      <c r="L21" s="1" t="str">
        <f aca="false">VLOOKUP(E21,Mercados!$A$2:$D$7,2,FALSE())</f>
        <v>Norteamérica</v>
      </c>
      <c r="M21" s="6" t="n">
        <f aca="false">VLOOKUP(E21,Mercados!$A$2:$D$7,3,FALSE())</f>
        <v>0.08</v>
      </c>
      <c r="N21" s="1" t="str">
        <f aca="false">VLOOKUP(E21,Mercados!$A$2:$D$7,4,FALSE())</f>
        <v>Potencial</v>
      </c>
      <c r="O21" s="5" t="n">
        <f aca="false">F21*G21</f>
        <v>8125</v>
      </c>
      <c r="P21" s="5" t="n">
        <f aca="false">F21*H21</f>
        <v>5655</v>
      </c>
      <c r="Q21" s="5" t="n">
        <f aca="false">O21-P21</f>
        <v>2470</v>
      </c>
      <c r="R21" s="6" t="n">
        <f aca="false">Q21/O21</f>
        <v>0.304</v>
      </c>
      <c r="S21" s="1" t="str">
        <f aca="false">IF(R21&gt;=30%,"Alta",IF(R21&gt;=15%,"Media","Baja"))</f>
        <v>Alta</v>
      </c>
      <c r="T21" s="1" t="str">
        <f aca="false">IF(O21&gt;=10000,"Grande",IF(O21&gt;=5000,"Mediana","Pequeña"))</f>
        <v>Mediana</v>
      </c>
      <c r="U21" s="1" t="str">
        <f aca="false">IF(AND(N21="Estratégico",R21&gt;=30%),"Alta",IF(OR(AND(N21="Estratégico",R21&lt;30%),AND(N21="Potencial",R21&gt;=30%)),"Media","Baja"))</f>
        <v>Media</v>
      </c>
    </row>
    <row r="22" customFormat="false" ht="15" hidden="false" customHeight="true" outlineLevel="0" collapsed="false">
      <c r="A22" s="3" t="s">
        <v>59</v>
      </c>
      <c r="B22" s="4" t="n">
        <v>46206</v>
      </c>
      <c r="C22" s="1" t="s">
        <v>27</v>
      </c>
      <c r="D22" s="1" t="s">
        <v>28</v>
      </c>
      <c r="E22" s="1" t="s">
        <v>29</v>
      </c>
      <c r="F22" s="1" t="n">
        <v>1500</v>
      </c>
      <c r="G22" s="1" t="n">
        <v>6.5</v>
      </c>
      <c r="H22" s="5" t="n">
        <v>4.1</v>
      </c>
      <c r="I22" s="5" t="s">
        <v>25</v>
      </c>
      <c r="J22" s="1" t="str">
        <f aca="false">VLOOKUP(D22,Productos!$A$2:$D$6,2,FALSE())</f>
        <v>Café especial</v>
      </c>
      <c r="K22" s="1" t="str">
        <f aca="false">VLOOKUP(D22,Productos!$A$2:$D$6,3,FALSE())</f>
        <v>Café</v>
      </c>
      <c r="L22" s="1" t="str">
        <f aca="false">VLOOKUP(E22,Mercados!$A$2:$D$7,2,FALSE())</f>
        <v>Norteamérica</v>
      </c>
      <c r="M22" s="6" t="n">
        <f aca="false">VLOOKUP(E22,Mercados!$A$2:$D$7,3,FALSE())</f>
        <v>0.05</v>
      </c>
      <c r="N22" s="1" t="str">
        <f aca="false">VLOOKUP(E22,Mercados!$A$2:$D$7,4,FALSE())</f>
        <v>Estratégico</v>
      </c>
      <c r="O22" s="5" t="n">
        <f aca="false">F22*G22</f>
        <v>9750</v>
      </c>
      <c r="P22" s="5" t="n">
        <f aca="false">F22*H22</f>
        <v>6150</v>
      </c>
      <c r="Q22" s="5" t="n">
        <f aca="false">O22-P22</f>
        <v>3600</v>
      </c>
      <c r="R22" s="6" t="n">
        <f aca="false">Q22/O22</f>
        <v>0.369230769230769</v>
      </c>
      <c r="S22" s="1" t="str">
        <f aca="false">IF(R22&gt;=30%,"Alta",IF(R22&gt;=15%,"Media","Baja"))</f>
        <v>Alta</v>
      </c>
      <c r="T22" s="1" t="str">
        <f aca="false">IF(O22&gt;=10000,"Grande",IF(O22&gt;=5000,"Mediana","Pequeña"))</f>
        <v>Mediana</v>
      </c>
      <c r="U22" s="1" t="str">
        <f aca="false">IF(AND(N22="Estratégico",R22&gt;=30%),"Alta",IF(OR(AND(N22="Estratégico",R22&lt;30%),AND(N22="Potencial",R22&gt;=30%)),"Media","Baja"))</f>
        <v>Alta</v>
      </c>
    </row>
    <row r="23" customFormat="false" ht="15" hidden="false" customHeight="true" outlineLevel="0" collapsed="false">
      <c r="A23" s="3" t="s">
        <v>60</v>
      </c>
      <c r="B23" s="4" t="n">
        <v>46214</v>
      </c>
      <c r="C23" s="1" t="s">
        <v>22</v>
      </c>
      <c r="D23" s="1" t="s">
        <v>37</v>
      </c>
      <c r="E23" s="1" t="s">
        <v>24</v>
      </c>
      <c r="F23" s="1" t="n">
        <v>1000</v>
      </c>
      <c r="G23" s="1" t="n">
        <v>7.1</v>
      </c>
      <c r="H23" s="5" t="n">
        <v>4.8</v>
      </c>
      <c r="I23" s="5" t="s">
        <v>30</v>
      </c>
      <c r="J23" s="1" t="str">
        <f aca="false">VLOOKUP(D23,Productos!$A$2:$D$6,2,FALSE())</f>
        <v>Cacao en grano</v>
      </c>
      <c r="K23" s="1" t="str">
        <f aca="false">VLOOKUP(D23,Productos!$A$2:$D$6,3,FALSE())</f>
        <v>Cacao</v>
      </c>
      <c r="L23" s="1" t="str">
        <f aca="false">VLOOKUP(E23,Mercados!$A$2:$D$7,2,FALSE())</f>
        <v>Centroamérica</v>
      </c>
      <c r="M23" s="6" t="n">
        <f aca="false">VLOOKUP(E23,Mercados!$A$2:$D$7,3,FALSE())</f>
        <v>0.03</v>
      </c>
      <c r="N23" s="1" t="str">
        <f aca="false">VLOOKUP(E23,Mercados!$A$2:$D$7,4,FALSE())</f>
        <v>Estratégico</v>
      </c>
      <c r="O23" s="5" t="n">
        <f aca="false">F23*G23</f>
        <v>7100</v>
      </c>
      <c r="P23" s="5" t="n">
        <f aca="false">F23*H23</f>
        <v>4800</v>
      </c>
      <c r="Q23" s="5" t="n">
        <f aca="false">O23-P23</f>
        <v>2300</v>
      </c>
      <c r="R23" s="6" t="n">
        <f aca="false">Q23/O23</f>
        <v>0.323943661971831</v>
      </c>
      <c r="S23" s="1" t="str">
        <f aca="false">IF(R23&gt;=30%,"Alta",IF(R23&gt;=15%,"Media","Baja"))</f>
        <v>Alta</v>
      </c>
      <c r="T23" s="1" t="str">
        <f aca="false">IF(O23&gt;=10000,"Grande",IF(O23&gt;=5000,"Mediana","Pequeña"))</f>
        <v>Mediana</v>
      </c>
      <c r="U23" s="1" t="str">
        <f aca="false">IF(AND(N23="Estratégico",R23&gt;=30%),"Alta",IF(OR(AND(N23="Estratégico",R23&lt;30%),AND(N23="Potencial",R23&gt;=30%)),"Media","Baja"))</f>
        <v>Alta</v>
      </c>
    </row>
    <row r="24" customFormat="false" ht="15" hidden="false" customHeight="true" outlineLevel="0" collapsed="false">
      <c r="A24" s="3" t="s">
        <v>61</v>
      </c>
      <c r="B24" s="4" t="n">
        <v>46222</v>
      </c>
      <c r="C24" s="1" t="s">
        <v>32</v>
      </c>
      <c r="D24" s="1" t="s">
        <v>33</v>
      </c>
      <c r="E24" s="1" t="s">
        <v>34</v>
      </c>
      <c r="F24" s="1" t="n">
        <v>720</v>
      </c>
      <c r="G24" s="1" t="n">
        <v>8.2</v>
      </c>
      <c r="H24" s="5" t="n">
        <v>5.9</v>
      </c>
      <c r="I24" s="5" t="s">
        <v>25</v>
      </c>
      <c r="J24" s="1" t="str">
        <f aca="false">VLOOKUP(D24,Productos!$A$2:$D$6,2,FALSE())</f>
        <v>Maní procesado</v>
      </c>
      <c r="K24" s="1" t="str">
        <f aca="false">VLOOKUP(D24,Productos!$A$2:$D$6,3,FALSE())</f>
        <v>Semillas</v>
      </c>
      <c r="L24" s="1" t="str">
        <f aca="false">VLOOKUP(E24,Mercados!$A$2:$D$7,2,FALSE())</f>
        <v>Centroamérica</v>
      </c>
      <c r="M24" s="6" t="n">
        <f aca="false">VLOOKUP(E24,Mercados!$A$2:$D$7,3,FALSE())</f>
        <v>0.02</v>
      </c>
      <c r="N24" s="1" t="str">
        <f aca="false">VLOOKUP(E24,Mercados!$A$2:$D$7,4,FALSE())</f>
        <v>Estratégico</v>
      </c>
      <c r="O24" s="5" t="n">
        <f aca="false">F24*G24</f>
        <v>5904</v>
      </c>
      <c r="P24" s="5" t="n">
        <f aca="false">F24*H24</f>
        <v>4248</v>
      </c>
      <c r="Q24" s="5" t="n">
        <f aca="false">O24-P24</f>
        <v>1656</v>
      </c>
      <c r="R24" s="6" t="n">
        <f aca="false">Q24/O24</f>
        <v>0.280487804878049</v>
      </c>
      <c r="S24" s="1" t="str">
        <f aca="false">IF(R24&gt;=30%,"Alta",IF(R24&gt;=15%,"Media","Baja"))</f>
        <v>Media</v>
      </c>
      <c r="T24" s="1" t="str">
        <f aca="false">IF(O24&gt;=10000,"Grande",IF(O24&gt;=5000,"Mediana","Pequeña"))</f>
        <v>Mediana</v>
      </c>
      <c r="U24" s="1" t="str">
        <f aca="false">IF(AND(N24="Estratégico",R24&gt;=30%),"Alta",IF(OR(AND(N24="Estratégico",R24&lt;30%),AND(N24="Potencial",R24&gt;=30%)),"Media","Baja"))</f>
        <v>Media</v>
      </c>
    </row>
    <row r="25" customFormat="false" ht="15" hidden="false" customHeight="true" outlineLevel="0" collapsed="false">
      <c r="A25" s="3" t="s">
        <v>62</v>
      </c>
      <c r="B25" s="4" t="n">
        <v>46231</v>
      </c>
      <c r="C25" s="1" t="s">
        <v>36</v>
      </c>
      <c r="D25" s="1" t="s">
        <v>23</v>
      </c>
      <c r="E25" s="1" t="s">
        <v>38</v>
      </c>
      <c r="F25" s="1" t="n">
        <v>1150</v>
      </c>
      <c r="G25" s="1" t="n">
        <v>4.8</v>
      </c>
      <c r="H25" s="5" t="n">
        <v>3.2</v>
      </c>
      <c r="I25" s="5" t="s">
        <v>30</v>
      </c>
      <c r="J25" s="1" t="str">
        <f aca="false">VLOOKUP(D25,Productos!$A$2:$D$6,2,FALSE())</f>
        <v>Miel natural</v>
      </c>
      <c r="K25" s="1" t="str">
        <f aca="false">VLOOKUP(D25,Productos!$A$2:$D$6,3,FALSE())</f>
        <v>Apícola</v>
      </c>
      <c r="L25" s="1" t="str">
        <f aca="false">VLOOKUP(E25,Mercados!$A$2:$D$7,2,FALSE())</f>
        <v>Europa</v>
      </c>
      <c r="M25" s="6" t="n">
        <f aca="false">VLOOKUP(E25,Mercados!$A$2:$D$7,3,FALSE())</f>
        <v>0.1</v>
      </c>
      <c r="N25" s="1" t="str">
        <f aca="false">VLOOKUP(E25,Mercados!$A$2:$D$7,4,FALSE())</f>
        <v>Potencial</v>
      </c>
      <c r="O25" s="5" t="n">
        <f aca="false">F25*G25</f>
        <v>5520</v>
      </c>
      <c r="P25" s="5" t="n">
        <f aca="false">F25*H25</f>
        <v>3680</v>
      </c>
      <c r="Q25" s="5" t="n">
        <f aca="false">O25-P25</f>
        <v>1840</v>
      </c>
      <c r="R25" s="6" t="n">
        <f aca="false">Q25/O25</f>
        <v>0.333333333333333</v>
      </c>
      <c r="S25" s="1" t="str">
        <f aca="false">IF(R25&gt;=30%,"Alta",IF(R25&gt;=15%,"Media","Baja"))</f>
        <v>Alta</v>
      </c>
      <c r="T25" s="1" t="str">
        <f aca="false">IF(O25&gt;=10000,"Grande",IF(O25&gt;=5000,"Mediana","Pequeña"))</f>
        <v>Mediana</v>
      </c>
      <c r="U25" s="1" t="str">
        <f aca="false">IF(AND(N25="Estratégico",R25&gt;=30%),"Alta",IF(OR(AND(N25="Estratégico",R25&lt;30%),AND(N25="Potencial",R25&gt;=30%)),"Media","Baja"))</f>
        <v>Media</v>
      </c>
    </row>
    <row r="26" customFormat="false" ht="15" hidden="false" customHeight="true" outlineLevel="0" collapsed="false">
      <c r="A26" s="3" t="s">
        <v>63</v>
      </c>
      <c r="B26" s="4" t="n">
        <v>46239</v>
      </c>
      <c r="C26" s="1" t="s">
        <v>41</v>
      </c>
      <c r="D26" s="1" t="s">
        <v>28</v>
      </c>
      <c r="E26" s="1" t="s">
        <v>43</v>
      </c>
      <c r="F26" s="1" t="n">
        <v>950</v>
      </c>
      <c r="G26" s="1" t="n">
        <v>6.5</v>
      </c>
      <c r="H26" s="5" t="n">
        <v>4.1</v>
      </c>
      <c r="I26" s="5" t="s">
        <v>39</v>
      </c>
      <c r="J26" s="1" t="str">
        <f aca="false">VLOOKUP(D26,Productos!$A$2:$D$6,2,FALSE())</f>
        <v>Café especial</v>
      </c>
      <c r="K26" s="1" t="str">
        <f aca="false">VLOOKUP(D26,Productos!$A$2:$D$6,3,FALSE())</f>
        <v>Café</v>
      </c>
      <c r="L26" s="1" t="str">
        <f aca="false">VLOOKUP(E26,Mercados!$A$2:$D$7,2,FALSE())</f>
        <v>Norteamérica</v>
      </c>
      <c r="M26" s="6" t="n">
        <f aca="false">VLOOKUP(E26,Mercados!$A$2:$D$7,3,FALSE())</f>
        <v>0.08</v>
      </c>
      <c r="N26" s="1" t="str">
        <f aca="false">VLOOKUP(E26,Mercados!$A$2:$D$7,4,FALSE())</f>
        <v>Potencial</v>
      </c>
      <c r="O26" s="5" t="n">
        <f aca="false">F26*G26</f>
        <v>6175</v>
      </c>
      <c r="P26" s="5" t="n">
        <f aca="false">F26*H26</f>
        <v>3895</v>
      </c>
      <c r="Q26" s="5" t="n">
        <f aca="false">O26-P26</f>
        <v>2280</v>
      </c>
      <c r="R26" s="6" t="n">
        <f aca="false">Q26/O26</f>
        <v>0.369230769230769</v>
      </c>
      <c r="S26" s="1" t="str">
        <f aca="false">IF(R26&gt;=30%,"Alta",IF(R26&gt;=15%,"Media","Baja"))</f>
        <v>Alta</v>
      </c>
      <c r="T26" s="1" t="str">
        <f aca="false">IF(O26&gt;=10000,"Grande",IF(O26&gt;=5000,"Mediana","Pequeña"))</f>
        <v>Mediana</v>
      </c>
      <c r="U26" s="1" t="str">
        <f aca="false">IF(AND(N26="Estratégico",R26&gt;=30%),"Alta",IF(OR(AND(N26="Estratégico",R26&lt;30%),AND(N26="Potencial",R26&gt;=30%)),"Media","Baja"))</f>
        <v>Media</v>
      </c>
    </row>
    <row r="27" customFormat="false" ht="15" hidden="false" customHeight="true" outlineLevel="0" collapsed="false">
      <c r="A27" s="3" t="s">
        <v>64</v>
      </c>
      <c r="B27" s="4" t="n">
        <v>46247</v>
      </c>
      <c r="C27" s="1" t="s">
        <v>27</v>
      </c>
      <c r="D27" s="1" t="s">
        <v>42</v>
      </c>
      <c r="E27" s="1" t="s">
        <v>29</v>
      </c>
      <c r="F27" s="1" t="n">
        <v>700</v>
      </c>
      <c r="G27" s="1" t="n">
        <v>12.5</v>
      </c>
      <c r="H27" s="5" t="n">
        <v>8.7</v>
      </c>
      <c r="I27" s="5" t="s">
        <v>30</v>
      </c>
      <c r="J27" s="1" t="str">
        <f aca="false">VLOOKUP(D27,Productos!$A$2:$D$6,2,FALSE())</f>
        <v>Aceite de ajonjolí</v>
      </c>
      <c r="K27" s="1" t="str">
        <f aca="false">VLOOKUP(D27,Productos!$A$2:$D$6,3,FALSE())</f>
        <v>Aceites</v>
      </c>
      <c r="L27" s="1" t="str">
        <f aca="false">VLOOKUP(E27,Mercados!$A$2:$D$7,2,FALSE())</f>
        <v>Norteamérica</v>
      </c>
      <c r="M27" s="6" t="n">
        <f aca="false">VLOOKUP(E27,Mercados!$A$2:$D$7,3,FALSE())</f>
        <v>0.05</v>
      </c>
      <c r="N27" s="1" t="str">
        <f aca="false">VLOOKUP(E27,Mercados!$A$2:$D$7,4,FALSE())</f>
        <v>Estratégico</v>
      </c>
      <c r="O27" s="5" t="n">
        <f aca="false">F27*G27</f>
        <v>8750</v>
      </c>
      <c r="P27" s="5" t="n">
        <f aca="false">F27*H27</f>
        <v>6090</v>
      </c>
      <c r="Q27" s="5" t="n">
        <f aca="false">O27-P27</f>
        <v>2660</v>
      </c>
      <c r="R27" s="6" t="n">
        <f aca="false">Q27/O27</f>
        <v>0.304</v>
      </c>
      <c r="S27" s="1" t="str">
        <f aca="false">IF(R27&gt;=30%,"Alta",IF(R27&gt;=15%,"Media","Baja"))</f>
        <v>Alta</v>
      </c>
      <c r="T27" s="1" t="str">
        <f aca="false">IF(O27&gt;=10000,"Grande",IF(O27&gt;=5000,"Mediana","Pequeña"))</f>
        <v>Mediana</v>
      </c>
      <c r="U27" s="1" t="str">
        <f aca="false">IF(AND(N27="Estratégico",R27&gt;=30%),"Alta",IF(OR(AND(N27="Estratégico",R27&lt;30%),AND(N27="Potencial",R27&gt;=30%)),"Media","Baja"))</f>
        <v>Alta</v>
      </c>
    </row>
    <row r="28" customFormat="false" ht="15" hidden="false" customHeight="true" outlineLevel="0" collapsed="false">
      <c r="A28" s="3" t="s">
        <v>65</v>
      </c>
      <c r="B28" s="4" t="n">
        <v>46255</v>
      </c>
      <c r="C28" s="1" t="s">
        <v>22</v>
      </c>
      <c r="D28" s="1" t="s">
        <v>23</v>
      </c>
      <c r="E28" s="1" t="s">
        <v>24</v>
      </c>
      <c r="F28" s="1" t="n">
        <v>1050</v>
      </c>
      <c r="G28" s="1" t="n">
        <v>4.8</v>
      </c>
      <c r="H28" s="5" t="n">
        <v>3.2</v>
      </c>
      <c r="I28" s="5" t="s">
        <v>25</v>
      </c>
      <c r="J28" s="1" t="str">
        <f aca="false">VLOOKUP(D28,Productos!$A$2:$D$6,2,FALSE())</f>
        <v>Miel natural</v>
      </c>
      <c r="K28" s="1" t="str">
        <f aca="false">VLOOKUP(D28,Productos!$A$2:$D$6,3,FALSE())</f>
        <v>Apícola</v>
      </c>
      <c r="L28" s="1" t="str">
        <f aca="false">VLOOKUP(E28,Mercados!$A$2:$D$7,2,FALSE())</f>
        <v>Centroamérica</v>
      </c>
      <c r="M28" s="6" t="n">
        <f aca="false">VLOOKUP(E28,Mercados!$A$2:$D$7,3,FALSE())</f>
        <v>0.03</v>
      </c>
      <c r="N28" s="1" t="str">
        <f aca="false">VLOOKUP(E28,Mercados!$A$2:$D$7,4,FALSE())</f>
        <v>Estratégico</v>
      </c>
      <c r="O28" s="5" t="n">
        <f aca="false">F28*G28</f>
        <v>5040</v>
      </c>
      <c r="P28" s="5" t="n">
        <f aca="false">F28*H28</f>
        <v>3360</v>
      </c>
      <c r="Q28" s="5" t="n">
        <f aca="false">O28-P28</f>
        <v>1680</v>
      </c>
      <c r="R28" s="6" t="n">
        <f aca="false">Q28/O28</f>
        <v>0.333333333333333</v>
      </c>
      <c r="S28" s="1" t="str">
        <f aca="false">IF(R28&gt;=30%,"Alta",IF(R28&gt;=15%,"Media","Baja"))</f>
        <v>Alta</v>
      </c>
      <c r="T28" s="1" t="str">
        <f aca="false">IF(O28&gt;=10000,"Grande",IF(O28&gt;=5000,"Mediana","Pequeña"))</f>
        <v>Mediana</v>
      </c>
      <c r="U28" s="1" t="str">
        <f aca="false">IF(AND(N28="Estratégico",R28&gt;=30%),"Alta",IF(OR(AND(N28="Estratégico",R28&lt;30%),AND(N28="Potencial",R28&gt;=30%)),"Media","Baja"))</f>
        <v>Alta</v>
      </c>
    </row>
    <row r="29" customFormat="false" ht="15" hidden="false" customHeight="true" outlineLevel="0" collapsed="false">
      <c r="A29" s="3" t="s">
        <v>66</v>
      </c>
      <c r="B29" s="4" t="n">
        <v>46263</v>
      </c>
      <c r="C29" s="1" t="s">
        <v>32</v>
      </c>
      <c r="D29" s="1" t="s">
        <v>37</v>
      </c>
      <c r="E29" s="1" t="s">
        <v>34</v>
      </c>
      <c r="F29" s="1" t="n">
        <v>850</v>
      </c>
      <c r="G29" s="1" t="n">
        <v>7.1</v>
      </c>
      <c r="H29" s="5" t="n">
        <v>4.8</v>
      </c>
      <c r="I29" s="5" t="s">
        <v>30</v>
      </c>
      <c r="J29" s="1" t="str">
        <f aca="false">VLOOKUP(D29,Productos!$A$2:$D$6,2,FALSE())</f>
        <v>Cacao en grano</v>
      </c>
      <c r="K29" s="1" t="str">
        <f aca="false">VLOOKUP(D29,Productos!$A$2:$D$6,3,FALSE())</f>
        <v>Cacao</v>
      </c>
      <c r="L29" s="1" t="str">
        <f aca="false">VLOOKUP(E29,Mercados!$A$2:$D$7,2,FALSE())</f>
        <v>Centroamérica</v>
      </c>
      <c r="M29" s="6" t="n">
        <f aca="false">VLOOKUP(E29,Mercados!$A$2:$D$7,3,FALSE())</f>
        <v>0.02</v>
      </c>
      <c r="N29" s="1" t="str">
        <f aca="false">VLOOKUP(E29,Mercados!$A$2:$D$7,4,FALSE())</f>
        <v>Estratégico</v>
      </c>
      <c r="O29" s="5" t="n">
        <f aca="false">F29*G29</f>
        <v>6035</v>
      </c>
      <c r="P29" s="5" t="n">
        <f aca="false">F29*H29</f>
        <v>4080</v>
      </c>
      <c r="Q29" s="5" t="n">
        <f aca="false">O29-P29</f>
        <v>1955</v>
      </c>
      <c r="R29" s="6" t="n">
        <f aca="false">Q29/O29</f>
        <v>0.323943661971831</v>
      </c>
      <c r="S29" s="1" t="str">
        <f aca="false">IF(R29&gt;=30%,"Alta",IF(R29&gt;=15%,"Media","Baja"))</f>
        <v>Alta</v>
      </c>
      <c r="T29" s="1" t="str">
        <f aca="false">IF(O29&gt;=10000,"Grande",IF(O29&gt;=5000,"Mediana","Pequeña"))</f>
        <v>Mediana</v>
      </c>
      <c r="U29" s="1" t="str">
        <f aca="false">IF(AND(N29="Estratégico",R29&gt;=30%),"Alta",IF(OR(AND(N29="Estratégico",R29&lt;30%),AND(N29="Potencial",R29&gt;=30%)),"Media","Baja"))</f>
        <v>Alta</v>
      </c>
    </row>
    <row r="30" customFormat="false" ht="15" hidden="false" customHeight="true" outlineLevel="0" collapsed="false">
      <c r="A30" s="3" t="s">
        <v>67</v>
      </c>
      <c r="B30" s="4" t="n">
        <v>46269</v>
      </c>
      <c r="C30" s="1" t="s">
        <v>36</v>
      </c>
      <c r="D30" s="1" t="s">
        <v>28</v>
      </c>
      <c r="E30" s="1" t="s">
        <v>38</v>
      </c>
      <c r="F30" s="1" t="n">
        <v>1200</v>
      </c>
      <c r="G30" s="1" t="n">
        <v>6.5</v>
      </c>
      <c r="H30" s="5" t="n">
        <v>4.1</v>
      </c>
      <c r="I30" s="5" t="s">
        <v>25</v>
      </c>
      <c r="J30" s="1" t="str">
        <f aca="false">VLOOKUP(D30,Productos!$A$2:$D$6,2,FALSE())</f>
        <v>Café especial</v>
      </c>
      <c r="K30" s="1" t="str">
        <f aca="false">VLOOKUP(D30,Productos!$A$2:$D$6,3,FALSE())</f>
        <v>Café</v>
      </c>
      <c r="L30" s="1" t="str">
        <f aca="false">VLOOKUP(E30,Mercados!$A$2:$D$7,2,FALSE())</f>
        <v>Europa</v>
      </c>
      <c r="M30" s="6" t="n">
        <f aca="false">VLOOKUP(E30,Mercados!$A$2:$D$7,3,FALSE())</f>
        <v>0.1</v>
      </c>
      <c r="N30" s="1" t="str">
        <f aca="false">VLOOKUP(E30,Mercados!$A$2:$D$7,4,FALSE())</f>
        <v>Potencial</v>
      </c>
      <c r="O30" s="5" t="n">
        <f aca="false">F30*G30</f>
        <v>7800</v>
      </c>
      <c r="P30" s="5" t="n">
        <f aca="false">F30*H30</f>
        <v>4920</v>
      </c>
      <c r="Q30" s="5" t="n">
        <f aca="false">O30-P30</f>
        <v>2880</v>
      </c>
      <c r="R30" s="6" t="n">
        <f aca="false">Q30/O30</f>
        <v>0.369230769230769</v>
      </c>
      <c r="S30" s="1" t="str">
        <f aca="false">IF(R30&gt;=30%,"Alta",IF(R30&gt;=15%,"Media","Baja"))</f>
        <v>Alta</v>
      </c>
      <c r="T30" s="1" t="str">
        <f aca="false">IF(O30&gt;=10000,"Grande",IF(O30&gt;=5000,"Mediana","Pequeña"))</f>
        <v>Mediana</v>
      </c>
      <c r="U30" s="1" t="str">
        <f aca="false">IF(AND(N30="Estratégico",R30&gt;=30%),"Alta",IF(OR(AND(N30="Estratégico",R30&lt;30%),AND(N30="Potencial",R30&gt;=30%)),"Media","Baja"))</f>
        <v>Media</v>
      </c>
    </row>
    <row r="31" customFormat="false" ht="15" hidden="false" customHeight="true" outlineLevel="0" collapsed="false">
      <c r="A31" s="3" t="s">
        <v>68</v>
      </c>
      <c r="B31" s="4" t="n">
        <v>46277</v>
      </c>
      <c r="C31" s="1" t="s">
        <v>41</v>
      </c>
      <c r="D31" s="1" t="s">
        <v>33</v>
      </c>
      <c r="E31" s="1" t="s">
        <v>43</v>
      </c>
      <c r="F31" s="1" t="n">
        <v>600</v>
      </c>
      <c r="G31" s="1" t="n">
        <v>8.2</v>
      </c>
      <c r="H31" s="5" t="n">
        <v>5.9</v>
      </c>
      <c r="I31" s="5" t="s">
        <v>30</v>
      </c>
      <c r="J31" s="1" t="str">
        <f aca="false">VLOOKUP(D31,Productos!$A$2:$D$6,2,FALSE())</f>
        <v>Maní procesado</v>
      </c>
      <c r="K31" s="1" t="str">
        <f aca="false">VLOOKUP(D31,Productos!$A$2:$D$6,3,FALSE())</f>
        <v>Semillas</v>
      </c>
      <c r="L31" s="1" t="str">
        <f aca="false">VLOOKUP(E31,Mercados!$A$2:$D$7,2,FALSE())</f>
        <v>Norteamérica</v>
      </c>
      <c r="M31" s="6" t="n">
        <f aca="false">VLOOKUP(E31,Mercados!$A$2:$D$7,3,FALSE())</f>
        <v>0.08</v>
      </c>
      <c r="N31" s="1" t="str">
        <f aca="false">VLOOKUP(E31,Mercados!$A$2:$D$7,4,FALSE())</f>
        <v>Potencial</v>
      </c>
      <c r="O31" s="5" t="n">
        <f aca="false">F31*G31</f>
        <v>4920</v>
      </c>
      <c r="P31" s="5" t="n">
        <f aca="false">F31*H31</f>
        <v>3540</v>
      </c>
      <c r="Q31" s="5" t="n">
        <f aca="false">O31-P31</f>
        <v>1380</v>
      </c>
      <c r="R31" s="6" t="n">
        <f aca="false">Q31/O31</f>
        <v>0.280487804878049</v>
      </c>
      <c r="S31" s="1" t="str">
        <f aca="false">IF(R31&gt;=30%,"Alta",IF(R31&gt;=15%,"Media","Baja"))</f>
        <v>Media</v>
      </c>
      <c r="T31" s="1" t="str">
        <f aca="false">IF(O31&gt;=10000,"Grande",IF(O31&gt;=5000,"Mediana","Pequeña"))</f>
        <v>Pequeña</v>
      </c>
      <c r="U31" s="1" t="str">
        <f aca="false">IF(AND(N31="Estratégico",R31&gt;=30%),"Alta",IF(OR(AND(N31="Estratégico",R31&lt;30%),AND(N31="Potencial",R31&gt;=30%)),"Media","Baja"))</f>
        <v>Baja</v>
      </c>
    </row>
    <row r="32" customFormat="false" ht="15" hidden="false" customHeight="true" outlineLevel="0" collapsed="false">
      <c r="A32" s="3" t="s">
        <v>69</v>
      </c>
      <c r="B32" s="4" t="n">
        <v>46285</v>
      </c>
      <c r="C32" s="1" t="s">
        <v>27</v>
      </c>
      <c r="D32" s="1" t="s">
        <v>23</v>
      </c>
      <c r="E32" s="1" t="s">
        <v>29</v>
      </c>
      <c r="F32" s="1" t="n">
        <v>1350</v>
      </c>
      <c r="G32" s="1" t="n">
        <v>4.8</v>
      </c>
      <c r="H32" s="5" t="n">
        <v>3.2</v>
      </c>
      <c r="I32" s="5" t="s">
        <v>30</v>
      </c>
      <c r="J32" s="1" t="str">
        <f aca="false">VLOOKUP(D32,Productos!$A$2:$D$6,2,FALSE())</f>
        <v>Miel natural</v>
      </c>
      <c r="K32" s="1" t="str">
        <f aca="false">VLOOKUP(D32,Productos!$A$2:$D$6,3,FALSE())</f>
        <v>Apícola</v>
      </c>
      <c r="L32" s="1" t="str">
        <f aca="false">VLOOKUP(E32,Mercados!$A$2:$D$7,2,FALSE())</f>
        <v>Norteamérica</v>
      </c>
      <c r="M32" s="6" t="n">
        <f aca="false">VLOOKUP(E32,Mercados!$A$2:$D$7,3,FALSE())</f>
        <v>0.05</v>
      </c>
      <c r="N32" s="1" t="str">
        <f aca="false">VLOOKUP(E32,Mercados!$A$2:$D$7,4,FALSE())</f>
        <v>Estratégico</v>
      </c>
      <c r="O32" s="5" t="n">
        <f aca="false">F32*G32</f>
        <v>6480</v>
      </c>
      <c r="P32" s="5" t="n">
        <f aca="false">F32*H32</f>
        <v>4320</v>
      </c>
      <c r="Q32" s="5" t="n">
        <f aca="false">O32-P32</f>
        <v>2160</v>
      </c>
      <c r="R32" s="6" t="n">
        <f aca="false">Q32/O32</f>
        <v>0.333333333333333</v>
      </c>
      <c r="S32" s="1" t="str">
        <f aca="false">IF(R32&gt;=30%,"Alta",IF(R32&gt;=15%,"Media","Baja"))</f>
        <v>Alta</v>
      </c>
      <c r="T32" s="1" t="str">
        <f aca="false">IF(O32&gt;=10000,"Grande",IF(O32&gt;=5000,"Mediana","Pequeña"))</f>
        <v>Mediana</v>
      </c>
      <c r="U32" s="1" t="str">
        <f aca="false">IF(AND(N32="Estratégico",R32&gt;=30%),"Alta",IF(OR(AND(N32="Estratégico",R32&lt;30%),AND(N32="Potencial",R32&gt;=30%)),"Media","Baja"))</f>
        <v>Alta</v>
      </c>
    </row>
    <row r="33" customFormat="false" ht="15" hidden="false" customHeight="true" outlineLevel="0" collapsed="false">
      <c r="A33" s="3" t="s">
        <v>70</v>
      </c>
      <c r="B33" s="4" t="n">
        <v>46293</v>
      </c>
      <c r="C33" s="1" t="s">
        <v>22</v>
      </c>
      <c r="D33" s="1" t="s">
        <v>42</v>
      </c>
      <c r="E33" s="1" t="s">
        <v>24</v>
      </c>
      <c r="F33" s="1" t="n">
        <v>500</v>
      </c>
      <c r="G33" s="1" t="n">
        <v>12.5</v>
      </c>
      <c r="H33" s="5" t="n">
        <v>8.7</v>
      </c>
      <c r="I33" s="5" t="s">
        <v>39</v>
      </c>
      <c r="J33" s="1" t="str">
        <f aca="false">VLOOKUP(D33,Productos!$A$2:$D$6,2,FALSE())</f>
        <v>Aceite de ajonjolí</v>
      </c>
      <c r="K33" s="1" t="str">
        <f aca="false">VLOOKUP(D33,Productos!$A$2:$D$6,3,FALSE())</f>
        <v>Aceites</v>
      </c>
      <c r="L33" s="1" t="str">
        <f aca="false">VLOOKUP(E33,Mercados!$A$2:$D$7,2,FALSE())</f>
        <v>Centroamérica</v>
      </c>
      <c r="M33" s="6" t="n">
        <f aca="false">VLOOKUP(E33,Mercados!$A$2:$D$7,3,FALSE())</f>
        <v>0.03</v>
      </c>
      <c r="N33" s="1" t="str">
        <f aca="false">VLOOKUP(E33,Mercados!$A$2:$D$7,4,FALSE())</f>
        <v>Estratégico</v>
      </c>
      <c r="O33" s="5" t="n">
        <f aca="false">F33*G33</f>
        <v>6250</v>
      </c>
      <c r="P33" s="5" t="n">
        <f aca="false">F33*H33</f>
        <v>4350</v>
      </c>
      <c r="Q33" s="5" t="n">
        <f aca="false">O33-P33</f>
        <v>1900</v>
      </c>
      <c r="R33" s="6" t="n">
        <f aca="false">Q33/O33</f>
        <v>0.304</v>
      </c>
      <c r="S33" s="1" t="str">
        <f aca="false">IF(R33&gt;=30%,"Alta",IF(R33&gt;=15%,"Media","Baja"))</f>
        <v>Alta</v>
      </c>
      <c r="T33" s="1" t="str">
        <f aca="false">IF(O33&gt;=10000,"Grande",IF(O33&gt;=5000,"Mediana","Pequeña"))</f>
        <v>Mediana</v>
      </c>
      <c r="U33" s="1" t="str">
        <f aca="false">IF(AND(N33="Estratégico",R33&gt;=30%),"Alta",IF(OR(AND(N33="Estratégico",R33&lt;30%),AND(N33="Potencial",R33&gt;=30%)),"Media","Baja"))</f>
        <v>Alta</v>
      </c>
    </row>
    <row r="34" customFormat="false" ht="15" hidden="false" customHeight="true" outlineLevel="0" collapsed="false">
      <c r="A34" s="3" t="s">
        <v>71</v>
      </c>
      <c r="B34" s="4" t="n">
        <v>46301</v>
      </c>
      <c r="C34" s="1" t="s">
        <v>32</v>
      </c>
      <c r="D34" s="1" t="s">
        <v>28</v>
      </c>
      <c r="E34" s="1" t="s">
        <v>34</v>
      </c>
      <c r="F34" s="1" t="n">
        <v>950</v>
      </c>
      <c r="G34" s="1" t="n">
        <v>6.5</v>
      </c>
      <c r="H34" s="5" t="n">
        <v>4.1</v>
      </c>
      <c r="I34" s="5" t="s">
        <v>25</v>
      </c>
      <c r="J34" s="1" t="str">
        <f aca="false">VLOOKUP(D34,Productos!$A$2:$D$6,2,FALSE())</f>
        <v>Café especial</v>
      </c>
      <c r="K34" s="1" t="str">
        <f aca="false">VLOOKUP(D34,Productos!$A$2:$D$6,3,FALSE())</f>
        <v>Café</v>
      </c>
      <c r="L34" s="1" t="str">
        <f aca="false">VLOOKUP(E34,Mercados!$A$2:$D$7,2,FALSE())</f>
        <v>Centroamérica</v>
      </c>
      <c r="M34" s="6" t="n">
        <f aca="false">VLOOKUP(E34,Mercados!$A$2:$D$7,3,FALSE())</f>
        <v>0.02</v>
      </c>
      <c r="N34" s="1" t="str">
        <f aca="false">VLOOKUP(E34,Mercados!$A$2:$D$7,4,FALSE())</f>
        <v>Estratégico</v>
      </c>
      <c r="O34" s="5" t="n">
        <f aca="false">F34*G34</f>
        <v>6175</v>
      </c>
      <c r="P34" s="5" t="n">
        <f aca="false">F34*H34</f>
        <v>3895</v>
      </c>
      <c r="Q34" s="5" t="n">
        <f aca="false">O34-P34</f>
        <v>2280</v>
      </c>
      <c r="R34" s="6" t="n">
        <f aca="false">Q34/O34</f>
        <v>0.369230769230769</v>
      </c>
      <c r="S34" s="1" t="str">
        <f aca="false">IF(R34&gt;=30%,"Alta",IF(R34&gt;=15%,"Media","Baja"))</f>
        <v>Alta</v>
      </c>
      <c r="T34" s="1" t="str">
        <f aca="false">IF(O34&gt;=10000,"Grande",IF(O34&gt;=5000,"Mediana","Pequeña"))</f>
        <v>Mediana</v>
      </c>
      <c r="U34" s="1" t="str">
        <f aca="false">IF(AND(N34="Estratégico",R34&gt;=30%),"Alta",IF(OR(AND(N34="Estratégico",R34&lt;30%),AND(N34="Potencial",R34&gt;=30%)),"Media","Baja"))</f>
        <v>Alta</v>
      </c>
    </row>
    <row r="35" customFormat="false" ht="15" hidden="false" customHeight="true" outlineLevel="0" collapsed="false">
      <c r="A35" s="3" t="s">
        <v>72</v>
      </c>
      <c r="B35" s="4" t="n">
        <v>46309</v>
      </c>
      <c r="C35" s="1" t="s">
        <v>36</v>
      </c>
      <c r="D35" s="1" t="s">
        <v>37</v>
      </c>
      <c r="E35" s="1" t="s">
        <v>38</v>
      </c>
      <c r="F35" s="1" t="n">
        <v>1050</v>
      </c>
      <c r="G35" s="1" t="n">
        <v>7.1</v>
      </c>
      <c r="H35" s="5" t="n">
        <v>4.8</v>
      </c>
      <c r="I35" s="5" t="s">
        <v>30</v>
      </c>
      <c r="J35" s="1" t="str">
        <f aca="false">VLOOKUP(D35,Productos!$A$2:$D$6,2,FALSE())</f>
        <v>Cacao en grano</v>
      </c>
      <c r="K35" s="1" t="str">
        <f aca="false">VLOOKUP(D35,Productos!$A$2:$D$6,3,FALSE())</f>
        <v>Cacao</v>
      </c>
      <c r="L35" s="1" t="str">
        <f aca="false">VLOOKUP(E35,Mercados!$A$2:$D$7,2,FALSE())</f>
        <v>Europa</v>
      </c>
      <c r="M35" s="6" t="n">
        <f aca="false">VLOOKUP(E35,Mercados!$A$2:$D$7,3,FALSE())</f>
        <v>0.1</v>
      </c>
      <c r="N35" s="1" t="str">
        <f aca="false">VLOOKUP(E35,Mercados!$A$2:$D$7,4,FALSE())</f>
        <v>Potencial</v>
      </c>
      <c r="O35" s="5" t="n">
        <f aca="false">F35*G35</f>
        <v>7455</v>
      </c>
      <c r="P35" s="5" t="n">
        <f aca="false">F35*H35</f>
        <v>5040</v>
      </c>
      <c r="Q35" s="5" t="n">
        <f aca="false">O35-P35</f>
        <v>2415</v>
      </c>
      <c r="R35" s="6" t="n">
        <f aca="false">Q35/O35</f>
        <v>0.323943661971831</v>
      </c>
      <c r="S35" s="1" t="str">
        <f aca="false">IF(R35&gt;=30%,"Alta",IF(R35&gt;=15%,"Media","Baja"))</f>
        <v>Alta</v>
      </c>
      <c r="T35" s="1" t="str">
        <f aca="false">IF(O35&gt;=10000,"Grande",IF(O35&gt;=5000,"Mediana","Pequeña"))</f>
        <v>Mediana</v>
      </c>
      <c r="U35" s="1" t="str">
        <f aca="false">IF(AND(N35="Estratégico",R35&gt;=30%),"Alta",IF(OR(AND(N35="Estratégico",R35&lt;30%),AND(N35="Potencial",R35&gt;=30%)),"Media","Baja"))</f>
        <v>Media</v>
      </c>
    </row>
    <row r="36" customFormat="false" ht="15" hidden="false" customHeight="true" outlineLevel="0" collapsed="false">
      <c r="A36" s="3" t="s">
        <v>73</v>
      </c>
      <c r="B36" s="4" t="n">
        <v>46317</v>
      </c>
      <c r="C36" s="1" t="s">
        <v>41</v>
      </c>
      <c r="D36" s="1" t="s">
        <v>23</v>
      </c>
      <c r="E36" s="1" t="s">
        <v>43</v>
      </c>
      <c r="F36" s="1" t="n">
        <v>750</v>
      </c>
      <c r="G36" s="1" t="n">
        <v>4.8</v>
      </c>
      <c r="H36" s="5" t="n">
        <v>3.2</v>
      </c>
      <c r="I36" s="5" t="s">
        <v>25</v>
      </c>
      <c r="J36" s="1" t="str">
        <f aca="false">VLOOKUP(D36,Productos!$A$2:$D$6,2,FALSE())</f>
        <v>Miel natural</v>
      </c>
      <c r="K36" s="1" t="str">
        <f aca="false">VLOOKUP(D36,Productos!$A$2:$D$6,3,FALSE())</f>
        <v>Apícola</v>
      </c>
      <c r="L36" s="1" t="str">
        <f aca="false">VLOOKUP(E36,Mercados!$A$2:$D$7,2,FALSE())</f>
        <v>Norteamérica</v>
      </c>
      <c r="M36" s="6" t="n">
        <f aca="false">VLOOKUP(E36,Mercados!$A$2:$D$7,3,FALSE())</f>
        <v>0.08</v>
      </c>
      <c r="N36" s="1" t="str">
        <f aca="false">VLOOKUP(E36,Mercados!$A$2:$D$7,4,FALSE())</f>
        <v>Potencial</v>
      </c>
      <c r="O36" s="5" t="n">
        <f aca="false">F36*G36</f>
        <v>3600</v>
      </c>
      <c r="P36" s="5" t="n">
        <f aca="false">F36*H36</f>
        <v>2400</v>
      </c>
      <c r="Q36" s="5" t="n">
        <f aca="false">O36-P36</f>
        <v>1200</v>
      </c>
      <c r="R36" s="6" t="n">
        <f aca="false">Q36/O36</f>
        <v>0.333333333333333</v>
      </c>
      <c r="S36" s="1" t="str">
        <f aca="false">IF(R36&gt;=30%,"Alta",IF(R36&gt;=15%,"Media","Baja"))</f>
        <v>Alta</v>
      </c>
      <c r="T36" s="1" t="str">
        <f aca="false">IF(O36&gt;=10000,"Grande",IF(O36&gt;=5000,"Mediana","Pequeña"))</f>
        <v>Pequeña</v>
      </c>
      <c r="U36" s="1" t="str">
        <f aca="false">IF(AND(N36="Estratégico",R36&gt;=30%),"Alta",IF(OR(AND(N36="Estratégico",R36&lt;30%),AND(N36="Potencial",R36&gt;=30%)),"Media","Baja"))</f>
        <v>Media</v>
      </c>
    </row>
    <row r="37" customFormat="false" ht="15" hidden="false" customHeight="true" outlineLevel="0" collapsed="false">
      <c r="A37" s="3" t="s">
        <v>74</v>
      </c>
      <c r="B37" s="4" t="n">
        <v>46325</v>
      </c>
      <c r="C37" s="1" t="s">
        <v>27</v>
      </c>
      <c r="D37" s="1" t="s">
        <v>33</v>
      </c>
      <c r="E37" s="1" t="s">
        <v>29</v>
      </c>
      <c r="F37" s="1" t="n">
        <v>900</v>
      </c>
      <c r="G37" s="1" t="n">
        <v>8.2</v>
      </c>
      <c r="H37" s="5" t="n">
        <v>5.9</v>
      </c>
      <c r="I37" s="5" t="s">
        <v>30</v>
      </c>
      <c r="J37" s="1" t="str">
        <f aca="false">VLOOKUP(D37,Productos!$A$2:$D$6,2,FALSE())</f>
        <v>Maní procesado</v>
      </c>
      <c r="K37" s="1" t="str">
        <f aca="false">VLOOKUP(D37,Productos!$A$2:$D$6,3,FALSE())</f>
        <v>Semillas</v>
      </c>
      <c r="L37" s="1" t="str">
        <f aca="false">VLOOKUP(E37,Mercados!$A$2:$D$7,2,FALSE())</f>
        <v>Norteamérica</v>
      </c>
      <c r="M37" s="6" t="n">
        <f aca="false">VLOOKUP(E37,Mercados!$A$2:$D$7,3,FALSE())</f>
        <v>0.05</v>
      </c>
      <c r="N37" s="1" t="str">
        <f aca="false">VLOOKUP(E37,Mercados!$A$2:$D$7,4,FALSE())</f>
        <v>Estratégico</v>
      </c>
      <c r="O37" s="5" t="n">
        <f aca="false">F37*G37</f>
        <v>7380</v>
      </c>
      <c r="P37" s="5" t="n">
        <f aca="false">F37*H37</f>
        <v>5310</v>
      </c>
      <c r="Q37" s="5" t="n">
        <f aca="false">O37-P37</f>
        <v>2070</v>
      </c>
      <c r="R37" s="6" t="n">
        <f aca="false">Q37/O37</f>
        <v>0.280487804878049</v>
      </c>
      <c r="S37" s="1" t="str">
        <f aca="false">IF(R37&gt;=30%,"Alta",IF(R37&gt;=15%,"Media","Baja"))</f>
        <v>Media</v>
      </c>
      <c r="T37" s="1" t="str">
        <f aca="false">IF(O37&gt;=10000,"Grande",IF(O37&gt;=5000,"Mediana","Pequeña"))</f>
        <v>Mediana</v>
      </c>
      <c r="U37" s="1" t="str">
        <f aca="false">IF(AND(N37="Estratégico",R37&gt;=30%),"Alta",IF(OR(AND(N37="Estratégico",R37&lt;30%),AND(N37="Potencial",R37&gt;=30%)),"Media","Baja"))</f>
        <v>Media</v>
      </c>
    </row>
    <row r="38" customFormat="false" ht="15" hidden="false" customHeight="true" outlineLevel="0" collapsed="false">
      <c r="A38" s="3" t="s">
        <v>75</v>
      </c>
      <c r="B38" s="4" t="n">
        <v>46333</v>
      </c>
      <c r="C38" s="1" t="s">
        <v>22</v>
      </c>
      <c r="D38" s="1" t="s">
        <v>28</v>
      </c>
      <c r="E38" s="1" t="s">
        <v>24</v>
      </c>
      <c r="F38" s="1" t="n">
        <v>1150</v>
      </c>
      <c r="G38" s="1" t="n">
        <v>6.5</v>
      </c>
      <c r="H38" s="5" t="n">
        <v>4.1</v>
      </c>
      <c r="I38" s="5" t="s">
        <v>30</v>
      </c>
      <c r="J38" s="1" t="str">
        <f aca="false">VLOOKUP(D38,Productos!$A$2:$D$6,2,FALSE())</f>
        <v>Café especial</v>
      </c>
      <c r="K38" s="1" t="str">
        <f aca="false">VLOOKUP(D38,Productos!$A$2:$D$6,3,FALSE())</f>
        <v>Café</v>
      </c>
      <c r="L38" s="1" t="str">
        <f aca="false">VLOOKUP(E38,Mercados!$A$2:$D$7,2,FALSE())</f>
        <v>Centroamérica</v>
      </c>
      <c r="M38" s="6" t="n">
        <f aca="false">VLOOKUP(E38,Mercados!$A$2:$D$7,3,FALSE())</f>
        <v>0.03</v>
      </c>
      <c r="N38" s="1" t="str">
        <f aca="false">VLOOKUP(E38,Mercados!$A$2:$D$7,4,FALSE())</f>
        <v>Estratégico</v>
      </c>
      <c r="O38" s="5" t="n">
        <f aca="false">F38*G38</f>
        <v>7475</v>
      </c>
      <c r="P38" s="5" t="n">
        <f aca="false">F38*H38</f>
        <v>4715</v>
      </c>
      <c r="Q38" s="5" t="n">
        <f aca="false">O38-P38</f>
        <v>2760</v>
      </c>
      <c r="R38" s="6" t="n">
        <f aca="false">Q38/O38</f>
        <v>0.369230769230769</v>
      </c>
      <c r="S38" s="1" t="str">
        <f aca="false">IF(R38&gt;=30%,"Alta",IF(R38&gt;=15%,"Media","Baja"))</f>
        <v>Alta</v>
      </c>
      <c r="T38" s="1" t="str">
        <f aca="false">IF(O38&gt;=10000,"Grande",IF(O38&gt;=5000,"Mediana","Pequeña"))</f>
        <v>Mediana</v>
      </c>
      <c r="U38" s="1" t="str">
        <f aca="false">IF(AND(N38="Estratégico",R38&gt;=30%),"Alta",IF(OR(AND(N38="Estratégico",R38&lt;30%),AND(N38="Potencial",R38&gt;=30%)),"Media","Baja"))</f>
        <v>Alta</v>
      </c>
    </row>
    <row r="39" customFormat="false" ht="15" hidden="false" customHeight="true" outlineLevel="0" collapsed="false">
      <c r="A39" s="3" t="s">
        <v>76</v>
      </c>
      <c r="B39" s="4" t="n">
        <v>46341</v>
      </c>
      <c r="C39" s="1" t="s">
        <v>32</v>
      </c>
      <c r="D39" s="1" t="s">
        <v>42</v>
      </c>
      <c r="E39" s="1" t="s">
        <v>34</v>
      </c>
      <c r="F39" s="1" t="n">
        <v>580</v>
      </c>
      <c r="G39" s="1" t="n">
        <v>12.5</v>
      </c>
      <c r="H39" s="5" t="n">
        <v>8.7</v>
      </c>
      <c r="I39" s="5" t="s">
        <v>25</v>
      </c>
      <c r="J39" s="1" t="str">
        <f aca="false">VLOOKUP(D39,Productos!$A$2:$D$6,2,FALSE())</f>
        <v>Aceite de ajonjolí</v>
      </c>
      <c r="K39" s="1" t="str">
        <f aca="false">VLOOKUP(D39,Productos!$A$2:$D$6,3,FALSE())</f>
        <v>Aceites</v>
      </c>
      <c r="L39" s="1" t="str">
        <f aca="false">VLOOKUP(E39,Mercados!$A$2:$D$7,2,FALSE())</f>
        <v>Centroamérica</v>
      </c>
      <c r="M39" s="6" t="n">
        <f aca="false">VLOOKUP(E39,Mercados!$A$2:$D$7,3,FALSE())</f>
        <v>0.02</v>
      </c>
      <c r="N39" s="1" t="str">
        <f aca="false">VLOOKUP(E39,Mercados!$A$2:$D$7,4,FALSE())</f>
        <v>Estratégico</v>
      </c>
      <c r="O39" s="5" t="n">
        <f aca="false">F39*G39</f>
        <v>7250</v>
      </c>
      <c r="P39" s="5" t="n">
        <f aca="false">F39*H39</f>
        <v>5046</v>
      </c>
      <c r="Q39" s="5" t="n">
        <f aca="false">O39-P39</f>
        <v>2204</v>
      </c>
      <c r="R39" s="6" t="n">
        <f aca="false">Q39/O39</f>
        <v>0.304</v>
      </c>
      <c r="S39" s="1" t="str">
        <f aca="false">IF(R39&gt;=30%,"Alta",IF(R39&gt;=15%,"Media","Baja"))</f>
        <v>Alta</v>
      </c>
      <c r="T39" s="1" t="str">
        <f aca="false">IF(O39&gt;=10000,"Grande",IF(O39&gt;=5000,"Mediana","Pequeña"))</f>
        <v>Mediana</v>
      </c>
      <c r="U39" s="1" t="str">
        <f aca="false">IF(AND(N39="Estratégico",R39&gt;=30%),"Alta",IF(OR(AND(N39="Estratégico",R39&lt;30%),AND(N39="Potencial",R39&gt;=30%)),"Media","Baja"))</f>
        <v>Alta</v>
      </c>
    </row>
    <row r="40" customFormat="false" ht="15" hidden="false" customHeight="true" outlineLevel="0" collapsed="false">
      <c r="A40" s="3" t="s">
        <v>77</v>
      </c>
      <c r="B40" s="4" t="n">
        <v>46349</v>
      </c>
      <c r="C40" s="1" t="s">
        <v>36</v>
      </c>
      <c r="D40" s="1" t="s">
        <v>23</v>
      </c>
      <c r="E40" s="1" t="s">
        <v>38</v>
      </c>
      <c r="F40" s="1" t="n">
        <v>1300</v>
      </c>
      <c r="G40" s="1" t="n">
        <v>4.8</v>
      </c>
      <c r="H40" s="5" t="n">
        <v>3.2</v>
      </c>
      <c r="I40" s="5" t="s">
        <v>39</v>
      </c>
      <c r="J40" s="1" t="str">
        <f aca="false">VLOOKUP(D40,Productos!$A$2:$D$6,2,FALSE())</f>
        <v>Miel natural</v>
      </c>
      <c r="K40" s="1" t="str">
        <f aca="false">VLOOKUP(D40,Productos!$A$2:$D$6,3,FALSE())</f>
        <v>Apícola</v>
      </c>
      <c r="L40" s="1" t="str">
        <f aca="false">VLOOKUP(E40,Mercados!$A$2:$D$7,2,FALSE())</f>
        <v>Europa</v>
      </c>
      <c r="M40" s="6" t="n">
        <f aca="false">VLOOKUP(E40,Mercados!$A$2:$D$7,3,FALSE())</f>
        <v>0.1</v>
      </c>
      <c r="N40" s="1" t="str">
        <f aca="false">VLOOKUP(E40,Mercados!$A$2:$D$7,4,FALSE())</f>
        <v>Potencial</v>
      </c>
      <c r="O40" s="5" t="n">
        <f aca="false">F40*G40</f>
        <v>6240</v>
      </c>
      <c r="P40" s="5" t="n">
        <f aca="false">F40*H40</f>
        <v>4160</v>
      </c>
      <c r="Q40" s="5" t="n">
        <f aca="false">O40-P40</f>
        <v>2080</v>
      </c>
      <c r="R40" s="6" t="n">
        <f aca="false">Q40/O40</f>
        <v>0.333333333333333</v>
      </c>
      <c r="S40" s="1" t="str">
        <f aca="false">IF(R40&gt;=30%,"Alta",IF(R40&gt;=15%,"Media","Baja"))</f>
        <v>Alta</v>
      </c>
      <c r="T40" s="1" t="str">
        <f aca="false">IF(O40&gt;=10000,"Grande",IF(O40&gt;=5000,"Mediana","Pequeña"))</f>
        <v>Mediana</v>
      </c>
      <c r="U40" s="1" t="str">
        <f aca="false">IF(AND(N40="Estratégico",R40&gt;=30%),"Alta",IF(OR(AND(N40="Estratégico",R40&lt;30%),AND(N40="Potencial",R40&gt;=30%)),"Media","Baja"))</f>
        <v>Media</v>
      </c>
    </row>
    <row r="41" customFormat="false" ht="15" hidden="false" customHeight="true" outlineLevel="0" collapsed="false">
      <c r="A41" s="3" t="s">
        <v>78</v>
      </c>
      <c r="B41" s="4" t="n">
        <v>46357</v>
      </c>
      <c r="C41" s="1" t="s">
        <v>41</v>
      </c>
      <c r="D41" s="1" t="s">
        <v>37</v>
      </c>
      <c r="E41" s="1" t="s">
        <v>43</v>
      </c>
      <c r="F41" s="1" t="n">
        <v>900</v>
      </c>
      <c r="G41" s="1" t="n">
        <v>7.1</v>
      </c>
      <c r="H41" s="5" t="n">
        <v>4.8</v>
      </c>
      <c r="I41" s="5" t="s">
        <v>30</v>
      </c>
      <c r="J41" s="1" t="str">
        <f aca="false">VLOOKUP(D41,Productos!$A$2:$D$6,2,FALSE())</f>
        <v>Cacao en grano</v>
      </c>
      <c r="K41" s="1" t="str">
        <f aca="false">VLOOKUP(D41,Productos!$A$2:$D$6,3,FALSE())</f>
        <v>Cacao</v>
      </c>
      <c r="L41" s="1" t="str">
        <f aca="false">VLOOKUP(E41,Mercados!$A$2:$D$7,2,FALSE())</f>
        <v>Norteamérica</v>
      </c>
      <c r="M41" s="6" t="n">
        <f aca="false">VLOOKUP(E41,Mercados!$A$2:$D$7,3,FALSE())</f>
        <v>0.08</v>
      </c>
      <c r="N41" s="1" t="str">
        <f aca="false">VLOOKUP(E41,Mercados!$A$2:$D$7,4,FALSE())</f>
        <v>Potencial</v>
      </c>
      <c r="O41" s="5" t="n">
        <f aca="false">F41*G41</f>
        <v>6390</v>
      </c>
      <c r="P41" s="5" t="n">
        <f aca="false">F41*H41</f>
        <v>4320</v>
      </c>
      <c r="Q41" s="5" t="n">
        <f aca="false">O41-P41</f>
        <v>2070</v>
      </c>
      <c r="R41" s="6" t="n">
        <f aca="false">Q41/O41</f>
        <v>0.323943661971831</v>
      </c>
      <c r="S41" s="1" t="str">
        <f aca="false">IF(R41&gt;=30%,"Alta",IF(R41&gt;=15%,"Media","Baja"))</f>
        <v>Alta</v>
      </c>
      <c r="T41" s="1" t="str">
        <f aca="false">IF(O41&gt;=10000,"Grande",IF(O41&gt;=5000,"Mediana","Pequeña"))</f>
        <v>Mediana</v>
      </c>
      <c r="U41" s="1" t="str">
        <f aca="false">IF(AND(N41="Estratégico",R41&gt;=30%),"Alta",IF(OR(AND(N41="Estratégico",R41&lt;30%),AND(N41="Potencial",R41&gt;=30%)),"Media","Baja"))</f>
        <v>Media</v>
      </c>
    </row>
    <row r="42" customFormat="false" ht="15" hidden="false" customHeight="true" outlineLevel="0" collapsed="false">
      <c r="A42" s="3" t="s">
        <v>79</v>
      </c>
      <c r="B42" s="4" t="n">
        <v>46364</v>
      </c>
      <c r="C42" s="1" t="s">
        <v>27</v>
      </c>
      <c r="D42" s="1" t="s">
        <v>28</v>
      </c>
      <c r="E42" s="1" t="s">
        <v>29</v>
      </c>
      <c r="F42" s="1" t="n">
        <v>1400</v>
      </c>
      <c r="G42" s="1" t="n">
        <v>6.5</v>
      </c>
      <c r="H42" s="5" t="n">
        <v>4.1</v>
      </c>
      <c r="I42" s="5" t="s">
        <v>25</v>
      </c>
      <c r="J42" s="1" t="str">
        <f aca="false">VLOOKUP(D42,Productos!$A$2:$D$6,2,FALSE())</f>
        <v>Café especial</v>
      </c>
      <c r="K42" s="1" t="str">
        <f aca="false">VLOOKUP(D42,Productos!$A$2:$D$6,3,FALSE())</f>
        <v>Café</v>
      </c>
      <c r="L42" s="1" t="str">
        <f aca="false">VLOOKUP(E42,Mercados!$A$2:$D$7,2,FALSE())</f>
        <v>Norteamérica</v>
      </c>
      <c r="M42" s="6" t="n">
        <f aca="false">VLOOKUP(E42,Mercados!$A$2:$D$7,3,FALSE())</f>
        <v>0.05</v>
      </c>
      <c r="N42" s="1" t="str">
        <f aca="false">VLOOKUP(E42,Mercados!$A$2:$D$7,4,FALSE())</f>
        <v>Estratégico</v>
      </c>
      <c r="O42" s="5" t="n">
        <f aca="false">F42*G42</f>
        <v>9100</v>
      </c>
      <c r="P42" s="5" t="n">
        <f aca="false">F42*H42</f>
        <v>5740</v>
      </c>
      <c r="Q42" s="5" t="n">
        <f aca="false">O42-P42</f>
        <v>3360</v>
      </c>
      <c r="R42" s="6" t="n">
        <f aca="false">Q42/O42</f>
        <v>0.369230769230769</v>
      </c>
      <c r="S42" s="1" t="str">
        <f aca="false">IF(R42&gt;=30%,"Alta",IF(R42&gt;=15%,"Media","Baja"))</f>
        <v>Alta</v>
      </c>
      <c r="T42" s="1" t="str">
        <f aca="false">IF(O42&gt;=10000,"Grande",IF(O42&gt;=5000,"Mediana","Pequeña"))</f>
        <v>Mediana</v>
      </c>
      <c r="U42" s="1" t="str">
        <f aca="false">IF(AND(N42="Estratégico",R42&gt;=30%),"Alta",IF(OR(AND(N42="Estratégico",R42&lt;30%),AND(N42="Potencial",R42&gt;=30%)),"Media","Baja"))</f>
        <v>Alta</v>
      </c>
    </row>
    <row r="43" customFormat="false" ht="15" hidden="false" customHeight="true" outlineLevel="0" collapsed="false">
      <c r="A43" s="3" t="s">
        <v>80</v>
      </c>
      <c r="B43" s="4" t="n">
        <v>46371</v>
      </c>
      <c r="C43" s="1" t="s">
        <v>22</v>
      </c>
      <c r="D43" s="1" t="s">
        <v>33</v>
      </c>
      <c r="E43" s="1" t="s">
        <v>24</v>
      </c>
      <c r="F43" s="1" t="n">
        <v>800</v>
      </c>
      <c r="G43" s="1" t="n">
        <v>8.2</v>
      </c>
      <c r="H43" s="5" t="n">
        <v>5.9</v>
      </c>
      <c r="I43" s="5" t="s">
        <v>30</v>
      </c>
      <c r="J43" s="1" t="str">
        <f aca="false">VLOOKUP(D43,Productos!$A$2:$D$6,2,FALSE())</f>
        <v>Maní procesado</v>
      </c>
      <c r="K43" s="1" t="str">
        <f aca="false">VLOOKUP(D43,Productos!$A$2:$D$6,3,FALSE())</f>
        <v>Semillas</v>
      </c>
      <c r="L43" s="1" t="str">
        <f aca="false">VLOOKUP(E43,Mercados!$A$2:$D$7,2,FALSE())</f>
        <v>Centroamérica</v>
      </c>
      <c r="M43" s="6" t="n">
        <f aca="false">VLOOKUP(E43,Mercados!$A$2:$D$7,3,FALSE())</f>
        <v>0.03</v>
      </c>
      <c r="N43" s="1" t="str">
        <f aca="false">VLOOKUP(E43,Mercados!$A$2:$D$7,4,FALSE())</f>
        <v>Estratégico</v>
      </c>
      <c r="O43" s="5" t="n">
        <f aca="false">F43*G43</f>
        <v>6560</v>
      </c>
      <c r="P43" s="5" t="n">
        <f aca="false">F43*H43</f>
        <v>4720</v>
      </c>
      <c r="Q43" s="5" t="n">
        <f aca="false">O43-P43</f>
        <v>1840</v>
      </c>
      <c r="R43" s="6" t="n">
        <f aca="false">Q43/O43</f>
        <v>0.280487804878049</v>
      </c>
      <c r="S43" s="1" t="str">
        <f aca="false">IF(R43&gt;=30%,"Alta",IF(R43&gt;=15%,"Media","Baja"))</f>
        <v>Media</v>
      </c>
      <c r="T43" s="1" t="str">
        <f aca="false">IF(O43&gt;=10000,"Grande",IF(O43&gt;=5000,"Mediana","Pequeña"))</f>
        <v>Mediana</v>
      </c>
      <c r="U43" s="1" t="str">
        <f aca="false">IF(AND(N43="Estratégico",R43&gt;=30%),"Alta",IF(OR(AND(N43="Estratégico",R43&lt;30%),AND(N43="Potencial",R43&gt;=30%)),"Media","Baja"))</f>
        <v>Media</v>
      </c>
    </row>
    <row r="44" customFormat="false" ht="15" hidden="false" customHeight="true" outlineLevel="0" collapsed="false">
      <c r="A44" s="3" t="s">
        <v>81</v>
      </c>
      <c r="B44" s="4" t="n">
        <v>46378</v>
      </c>
      <c r="C44" s="1" t="s">
        <v>32</v>
      </c>
      <c r="D44" s="1" t="s">
        <v>23</v>
      </c>
      <c r="E44" s="1" t="s">
        <v>34</v>
      </c>
      <c r="F44" s="1" t="n">
        <v>1000</v>
      </c>
      <c r="G44" s="1" t="n">
        <v>4.8</v>
      </c>
      <c r="H44" s="5" t="n">
        <v>3.2</v>
      </c>
      <c r="I44" s="5" t="s">
        <v>30</v>
      </c>
      <c r="J44" s="1" t="str">
        <f aca="false">VLOOKUP(D44,Productos!$A$2:$D$6,2,FALSE())</f>
        <v>Miel natural</v>
      </c>
      <c r="K44" s="1" t="str">
        <f aca="false">VLOOKUP(D44,Productos!$A$2:$D$6,3,FALSE())</f>
        <v>Apícola</v>
      </c>
      <c r="L44" s="1" t="str">
        <f aca="false">VLOOKUP(E44,Mercados!$A$2:$D$7,2,FALSE())</f>
        <v>Centroamérica</v>
      </c>
      <c r="M44" s="6" t="n">
        <f aca="false">VLOOKUP(E44,Mercados!$A$2:$D$7,3,FALSE())</f>
        <v>0.02</v>
      </c>
      <c r="N44" s="1" t="str">
        <f aca="false">VLOOKUP(E44,Mercados!$A$2:$D$7,4,FALSE())</f>
        <v>Estratégico</v>
      </c>
      <c r="O44" s="5" t="n">
        <f aca="false">F44*G44</f>
        <v>4800</v>
      </c>
      <c r="P44" s="5" t="n">
        <f aca="false">F44*H44</f>
        <v>3200</v>
      </c>
      <c r="Q44" s="5" t="n">
        <f aca="false">O44-P44</f>
        <v>1600</v>
      </c>
      <c r="R44" s="6" t="n">
        <f aca="false">Q44/O44</f>
        <v>0.333333333333333</v>
      </c>
      <c r="S44" s="1" t="str">
        <f aca="false">IF(R44&gt;=30%,"Alta",IF(R44&gt;=15%,"Media","Baja"))</f>
        <v>Alta</v>
      </c>
      <c r="T44" s="1" t="str">
        <f aca="false">IF(O44&gt;=10000,"Grande",IF(O44&gt;=5000,"Mediana","Pequeña"))</f>
        <v>Pequeña</v>
      </c>
      <c r="U44" s="1" t="str">
        <f aca="false">IF(AND(N44="Estratégico",R44&gt;=30%),"Alta",IF(OR(AND(N44="Estratégico",R44&lt;30%),AND(N44="Potencial",R44&gt;=30%)),"Media","Baja"))</f>
        <v>Alta</v>
      </c>
    </row>
    <row r="45" customFormat="false" ht="15" hidden="false" customHeight="true" outlineLevel="0" collapsed="false">
      <c r="A45" s="3" t="s">
        <v>82</v>
      </c>
      <c r="B45" s="4" t="n">
        <v>46384</v>
      </c>
      <c r="C45" s="1" t="s">
        <v>36</v>
      </c>
      <c r="D45" s="1" t="s">
        <v>42</v>
      </c>
      <c r="E45" s="1" t="s">
        <v>38</v>
      </c>
      <c r="F45" s="1" t="n">
        <v>650</v>
      </c>
      <c r="G45" s="1" t="n">
        <v>12.5</v>
      </c>
      <c r="H45" s="5" t="n">
        <v>8.7</v>
      </c>
      <c r="I45" s="5" t="s">
        <v>25</v>
      </c>
      <c r="J45" s="1" t="str">
        <f aca="false">VLOOKUP(D45,Productos!$A$2:$D$6,2,FALSE())</f>
        <v>Aceite de ajonjolí</v>
      </c>
      <c r="K45" s="1" t="str">
        <f aca="false">VLOOKUP(D45,Productos!$A$2:$D$6,3,FALSE())</f>
        <v>Aceites</v>
      </c>
      <c r="L45" s="1" t="str">
        <f aca="false">VLOOKUP(E45,Mercados!$A$2:$D$7,2,FALSE())</f>
        <v>Europa</v>
      </c>
      <c r="M45" s="6" t="n">
        <f aca="false">VLOOKUP(E45,Mercados!$A$2:$D$7,3,FALSE())</f>
        <v>0.1</v>
      </c>
      <c r="N45" s="1" t="str">
        <f aca="false">VLOOKUP(E45,Mercados!$A$2:$D$7,4,FALSE())</f>
        <v>Potencial</v>
      </c>
      <c r="O45" s="5" t="n">
        <f aca="false">F45*G45</f>
        <v>8125</v>
      </c>
      <c r="P45" s="5" t="n">
        <f aca="false">F45*H45</f>
        <v>5655</v>
      </c>
      <c r="Q45" s="5" t="n">
        <f aca="false">O45-P45</f>
        <v>2470</v>
      </c>
      <c r="R45" s="6" t="n">
        <f aca="false">Q45/O45</f>
        <v>0.304</v>
      </c>
      <c r="S45" s="1" t="str">
        <f aca="false">IF(R45&gt;=30%,"Alta",IF(R45&gt;=15%,"Media","Baja"))</f>
        <v>Alta</v>
      </c>
      <c r="T45" s="1" t="str">
        <f aca="false">IF(O45&gt;=10000,"Grande",IF(O45&gt;=5000,"Mediana","Pequeña"))</f>
        <v>Mediana</v>
      </c>
      <c r="U45" s="1" t="str">
        <f aca="false">IF(AND(N45="Estratégico",R45&gt;=30%),"Alta",IF(OR(AND(N45="Estratégico",R45&lt;30%),AND(N45="Potencial",R45&gt;=30%)),"Media","Baja"))</f>
        <v>Media</v>
      </c>
    </row>
    <row r="46" customFormat="false" ht="15" hidden="false" customHeight="true" outlineLevel="0" collapsed="false">
      <c r="A46" s="3" t="s">
        <v>83</v>
      </c>
      <c r="B46" s="4" t="n">
        <v>46026</v>
      </c>
      <c r="C46" s="1" t="s">
        <v>41</v>
      </c>
      <c r="D46" s="1" t="s">
        <v>28</v>
      </c>
      <c r="E46" s="1" t="s">
        <v>43</v>
      </c>
      <c r="F46" s="1" t="n">
        <v>780</v>
      </c>
      <c r="G46" s="1" t="n">
        <v>6.5</v>
      </c>
      <c r="H46" s="5" t="n">
        <v>4.1</v>
      </c>
      <c r="I46" s="5" t="s">
        <v>30</v>
      </c>
      <c r="J46" s="1" t="str">
        <f aca="false">VLOOKUP(D46,Productos!$A$2:$D$6,2,FALSE())</f>
        <v>Café especial</v>
      </c>
      <c r="K46" s="1" t="str">
        <f aca="false">VLOOKUP(D46,Productos!$A$2:$D$6,3,FALSE())</f>
        <v>Café</v>
      </c>
      <c r="L46" s="1" t="str">
        <f aca="false">VLOOKUP(E46,Mercados!$A$2:$D$7,2,FALSE())</f>
        <v>Norteamérica</v>
      </c>
      <c r="M46" s="6" t="n">
        <f aca="false">VLOOKUP(E46,Mercados!$A$2:$D$7,3,FALSE())</f>
        <v>0.08</v>
      </c>
      <c r="N46" s="1" t="str">
        <f aca="false">VLOOKUP(E46,Mercados!$A$2:$D$7,4,FALSE())</f>
        <v>Potencial</v>
      </c>
      <c r="O46" s="5" t="n">
        <f aca="false">F46*G46</f>
        <v>5070</v>
      </c>
      <c r="P46" s="5" t="n">
        <f aca="false">F46*H46</f>
        <v>3198</v>
      </c>
      <c r="Q46" s="5" t="n">
        <f aca="false">O46-P46</f>
        <v>1872</v>
      </c>
      <c r="R46" s="6" t="n">
        <f aca="false">Q46/O46</f>
        <v>0.369230769230769</v>
      </c>
      <c r="S46" s="1" t="str">
        <f aca="false">IF(R46&gt;=30%,"Alta",IF(R46&gt;=15%,"Media","Baja"))</f>
        <v>Alta</v>
      </c>
      <c r="T46" s="1" t="str">
        <f aca="false">IF(O46&gt;=10000,"Grande",IF(O46&gt;=5000,"Mediana","Pequeña"))</f>
        <v>Mediana</v>
      </c>
      <c r="U46" s="1" t="str">
        <f aca="false">IF(AND(N46="Estratégico",R46&gt;=30%),"Alta",IF(OR(AND(N46="Estratégico",R46&lt;30%),AND(N46="Potencial",R46&gt;=30%)),"Media","Baja"))</f>
        <v>Media</v>
      </c>
    </row>
    <row r="47" customFormat="false" ht="15" hidden="false" customHeight="true" outlineLevel="0" collapsed="false">
      <c r="A47" s="3" t="s">
        <v>84</v>
      </c>
      <c r="B47" s="4" t="n">
        <v>46033</v>
      </c>
      <c r="C47" s="1" t="s">
        <v>27</v>
      </c>
      <c r="D47" s="1" t="s">
        <v>37</v>
      </c>
      <c r="E47" s="1" t="s">
        <v>29</v>
      </c>
      <c r="F47" s="1" t="n">
        <v>1180</v>
      </c>
      <c r="G47" s="1" t="n">
        <v>7.1</v>
      </c>
      <c r="H47" s="5" t="n">
        <v>4.8</v>
      </c>
      <c r="I47" s="5" t="s">
        <v>39</v>
      </c>
      <c r="J47" s="1" t="str">
        <f aca="false">VLOOKUP(D47,Productos!$A$2:$D$6,2,FALSE())</f>
        <v>Cacao en grano</v>
      </c>
      <c r="K47" s="1" t="str">
        <f aca="false">VLOOKUP(D47,Productos!$A$2:$D$6,3,FALSE())</f>
        <v>Cacao</v>
      </c>
      <c r="L47" s="1" t="str">
        <f aca="false">VLOOKUP(E47,Mercados!$A$2:$D$7,2,FALSE())</f>
        <v>Norteamérica</v>
      </c>
      <c r="M47" s="6" t="n">
        <f aca="false">VLOOKUP(E47,Mercados!$A$2:$D$7,3,FALSE())</f>
        <v>0.05</v>
      </c>
      <c r="N47" s="1" t="str">
        <f aca="false">VLOOKUP(E47,Mercados!$A$2:$D$7,4,FALSE())</f>
        <v>Estratégico</v>
      </c>
      <c r="O47" s="5" t="n">
        <f aca="false">F47*G47</f>
        <v>8378</v>
      </c>
      <c r="P47" s="5" t="n">
        <f aca="false">F47*H47</f>
        <v>5664</v>
      </c>
      <c r="Q47" s="5" t="n">
        <f aca="false">O47-P47</f>
        <v>2714</v>
      </c>
      <c r="R47" s="6" t="n">
        <f aca="false">Q47/O47</f>
        <v>0.323943661971831</v>
      </c>
      <c r="S47" s="1" t="str">
        <f aca="false">IF(R47&gt;=30%,"Alta",IF(R47&gt;=15%,"Media","Baja"))</f>
        <v>Alta</v>
      </c>
      <c r="T47" s="1" t="str">
        <f aca="false">IF(O47&gt;=10000,"Grande",IF(O47&gt;=5000,"Mediana","Pequeña"))</f>
        <v>Mediana</v>
      </c>
      <c r="U47" s="1" t="str">
        <f aca="false">IF(AND(N47="Estratégico",R47&gt;=30%),"Alta",IF(OR(AND(N47="Estratégico",R47&lt;30%),AND(N47="Potencial",R47&gt;=30%)),"Media","Baja"))</f>
        <v>Alta</v>
      </c>
    </row>
    <row r="48" customFormat="false" ht="15" hidden="false" customHeight="true" outlineLevel="0" collapsed="false">
      <c r="A48" s="3" t="s">
        <v>85</v>
      </c>
      <c r="B48" s="4" t="n">
        <v>46040</v>
      </c>
      <c r="C48" s="1" t="s">
        <v>22</v>
      </c>
      <c r="D48" s="1" t="s">
        <v>23</v>
      </c>
      <c r="E48" s="1" t="s">
        <v>24</v>
      </c>
      <c r="F48" s="1" t="n">
        <v>920</v>
      </c>
      <c r="G48" s="1" t="n">
        <v>4.8</v>
      </c>
      <c r="H48" s="5" t="n">
        <v>3.2</v>
      </c>
      <c r="I48" s="5" t="s">
        <v>25</v>
      </c>
      <c r="J48" s="1" t="str">
        <f aca="false">VLOOKUP(D48,Productos!$A$2:$D$6,2,FALSE())</f>
        <v>Miel natural</v>
      </c>
      <c r="K48" s="1" t="str">
        <f aca="false">VLOOKUP(D48,Productos!$A$2:$D$6,3,FALSE())</f>
        <v>Apícola</v>
      </c>
      <c r="L48" s="1" t="str">
        <f aca="false">VLOOKUP(E48,Mercados!$A$2:$D$7,2,FALSE())</f>
        <v>Centroamérica</v>
      </c>
      <c r="M48" s="6" t="n">
        <f aca="false">VLOOKUP(E48,Mercados!$A$2:$D$7,3,FALSE())</f>
        <v>0.03</v>
      </c>
      <c r="N48" s="1" t="str">
        <f aca="false">VLOOKUP(E48,Mercados!$A$2:$D$7,4,FALSE())</f>
        <v>Estratégico</v>
      </c>
      <c r="O48" s="5" t="n">
        <f aca="false">F48*G48</f>
        <v>4416</v>
      </c>
      <c r="P48" s="5" t="n">
        <f aca="false">F48*H48</f>
        <v>2944</v>
      </c>
      <c r="Q48" s="5" t="n">
        <f aca="false">O48-P48</f>
        <v>1472</v>
      </c>
      <c r="R48" s="6" t="n">
        <f aca="false">Q48/O48</f>
        <v>0.333333333333333</v>
      </c>
      <c r="S48" s="1" t="str">
        <f aca="false">IF(R48&gt;=30%,"Alta",IF(R48&gt;=15%,"Media","Baja"))</f>
        <v>Alta</v>
      </c>
      <c r="T48" s="1" t="str">
        <f aca="false">IF(O48&gt;=10000,"Grande",IF(O48&gt;=5000,"Mediana","Pequeña"))</f>
        <v>Pequeña</v>
      </c>
      <c r="U48" s="1" t="str">
        <f aca="false">IF(AND(N48="Estratégico",R48&gt;=30%),"Alta",IF(OR(AND(N48="Estratégico",R48&lt;30%),AND(N48="Potencial",R48&gt;=30%)),"Media","Baja"))</f>
        <v>Alta</v>
      </c>
    </row>
    <row r="49" customFormat="false" ht="15" hidden="false" customHeight="true" outlineLevel="0" collapsed="false">
      <c r="A49" s="3" t="s">
        <v>86</v>
      </c>
      <c r="B49" s="4" t="n">
        <v>46048</v>
      </c>
      <c r="C49" s="1" t="s">
        <v>32</v>
      </c>
      <c r="D49" s="1" t="s">
        <v>33</v>
      </c>
      <c r="E49" s="1" t="s">
        <v>34</v>
      </c>
      <c r="F49" s="1" t="n">
        <v>680</v>
      </c>
      <c r="G49" s="1" t="n">
        <v>8.2</v>
      </c>
      <c r="H49" s="5" t="n">
        <v>5.9</v>
      </c>
      <c r="I49" s="5" t="s">
        <v>30</v>
      </c>
      <c r="J49" s="1" t="str">
        <f aca="false">VLOOKUP(D49,Productos!$A$2:$D$6,2,FALSE())</f>
        <v>Maní procesado</v>
      </c>
      <c r="K49" s="1" t="str">
        <f aca="false">VLOOKUP(D49,Productos!$A$2:$D$6,3,FALSE())</f>
        <v>Semillas</v>
      </c>
      <c r="L49" s="1" t="str">
        <f aca="false">VLOOKUP(E49,Mercados!$A$2:$D$7,2,FALSE())</f>
        <v>Centroamérica</v>
      </c>
      <c r="M49" s="6" t="n">
        <f aca="false">VLOOKUP(E49,Mercados!$A$2:$D$7,3,FALSE())</f>
        <v>0.02</v>
      </c>
      <c r="N49" s="1" t="str">
        <f aca="false">VLOOKUP(E49,Mercados!$A$2:$D$7,4,FALSE())</f>
        <v>Estratégico</v>
      </c>
      <c r="O49" s="5" t="n">
        <f aca="false">F49*G49</f>
        <v>5576</v>
      </c>
      <c r="P49" s="5" t="n">
        <f aca="false">F49*H49</f>
        <v>4012</v>
      </c>
      <c r="Q49" s="5" t="n">
        <f aca="false">O49-P49</f>
        <v>1564</v>
      </c>
      <c r="R49" s="6" t="n">
        <f aca="false">Q49/O49</f>
        <v>0.280487804878049</v>
      </c>
      <c r="S49" s="1" t="str">
        <f aca="false">IF(R49&gt;=30%,"Alta",IF(R49&gt;=15%,"Media","Baja"))</f>
        <v>Media</v>
      </c>
      <c r="T49" s="1" t="str">
        <f aca="false">IF(O49&gt;=10000,"Grande",IF(O49&gt;=5000,"Mediana","Pequeña"))</f>
        <v>Mediana</v>
      </c>
      <c r="U49" s="1" t="str">
        <f aca="false">IF(AND(N49="Estratégico",R49&gt;=30%),"Alta",IF(OR(AND(N49="Estratégico",R49&lt;30%),AND(N49="Potencial",R49&gt;=30%)),"Media","Baja"))</f>
        <v>Media</v>
      </c>
    </row>
    <row r="50" customFormat="false" ht="15" hidden="false" customHeight="true" outlineLevel="0" collapsed="false">
      <c r="A50" s="3" t="s">
        <v>87</v>
      </c>
      <c r="B50" s="4" t="n">
        <v>46057</v>
      </c>
      <c r="C50" s="1" t="s">
        <v>36</v>
      </c>
      <c r="D50" s="1" t="s">
        <v>28</v>
      </c>
      <c r="E50" s="1" t="s">
        <v>38</v>
      </c>
      <c r="F50" s="1" t="n">
        <v>1080</v>
      </c>
      <c r="G50" s="1" t="n">
        <v>6.5</v>
      </c>
      <c r="H50" s="5" t="n">
        <v>4.1</v>
      </c>
      <c r="I50" s="5" t="s">
        <v>25</v>
      </c>
      <c r="J50" s="1" t="str">
        <f aca="false">VLOOKUP(D50,Productos!$A$2:$D$6,2,FALSE())</f>
        <v>Café especial</v>
      </c>
      <c r="K50" s="1" t="str">
        <f aca="false">VLOOKUP(D50,Productos!$A$2:$D$6,3,FALSE())</f>
        <v>Café</v>
      </c>
      <c r="L50" s="1" t="str">
        <f aca="false">VLOOKUP(E50,Mercados!$A$2:$D$7,2,FALSE())</f>
        <v>Europa</v>
      </c>
      <c r="M50" s="6" t="n">
        <f aca="false">VLOOKUP(E50,Mercados!$A$2:$D$7,3,FALSE())</f>
        <v>0.1</v>
      </c>
      <c r="N50" s="1" t="str">
        <f aca="false">VLOOKUP(E50,Mercados!$A$2:$D$7,4,FALSE())</f>
        <v>Potencial</v>
      </c>
      <c r="O50" s="5" t="n">
        <f aca="false">F50*G50</f>
        <v>7020</v>
      </c>
      <c r="P50" s="5" t="n">
        <f aca="false">F50*H50</f>
        <v>4428</v>
      </c>
      <c r="Q50" s="5" t="n">
        <f aca="false">O50-P50</f>
        <v>2592</v>
      </c>
      <c r="R50" s="6" t="n">
        <f aca="false">Q50/O50</f>
        <v>0.369230769230769</v>
      </c>
      <c r="S50" s="1" t="str">
        <f aca="false">IF(R50&gt;=30%,"Alta",IF(R50&gt;=15%,"Media","Baja"))</f>
        <v>Alta</v>
      </c>
      <c r="T50" s="1" t="str">
        <f aca="false">IF(O50&gt;=10000,"Grande",IF(O50&gt;=5000,"Mediana","Pequeña"))</f>
        <v>Mediana</v>
      </c>
      <c r="U50" s="1" t="str">
        <f aca="false">IF(AND(N50="Estratégico",R50&gt;=30%),"Alta",IF(OR(AND(N50="Estratégico",R50&lt;30%),AND(N50="Potencial",R50&gt;=30%)),"Media","Baja"))</f>
        <v>Media</v>
      </c>
    </row>
    <row r="51" customFormat="false" ht="15" hidden="false" customHeight="true" outlineLevel="0" collapsed="false">
      <c r="A51" s="3" t="s">
        <v>88</v>
      </c>
      <c r="B51" s="4" t="n">
        <v>46065</v>
      </c>
      <c r="C51" s="1" t="s">
        <v>41</v>
      </c>
      <c r="D51" s="1" t="s">
        <v>42</v>
      </c>
      <c r="E51" s="1" t="s">
        <v>43</v>
      </c>
      <c r="F51" s="1" t="n">
        <v>520</v>
      </c>
      <c r="G51" s="1" t="n">
        <v>12.5</v>
      </c>
      <c r="H51" s="5" t="n">
        <v>8.7</v>
      </c>
      <c r="I51" s="5" t="s">
        <v>30</v>
      </c>
      <c r="J51" s="1" t="str">
        <f aca="false">VLOOKUP(D51,Productos!$A$2:$D$6,2,FALSE())</f>
        <v>Aceite de ajonjolí</v>
      </c>
      <c r="K51" s="1" t="str">
        <f aca="false">VLOOKUP(D51,Productos!$A$2:$D$6,3,FALSE())</f>
        <v>Aceites</v>
      </c>
      <c r="L51" s="1" t="str">
        <f aca="false">VLOOKUP(E51,Mercados!$A$2:$D$7,2,FALSE())</f>
        <v>Norteamérica</v>
      </c>
      <c r="M51" s="6" t="n">
        <f aca="false">VLOOKUP(E51,Mercados!$A$2:$D$7,3,FALSE())</f>
        <v>0.08</v>
      </c>
      <c r="N51" s="1" t="str">
        <f aca="false">VLOOKUP(E51,Mercados!$A$2:$D$7,4,FALSE())</f>
        <v>Potencial</v>
      </c>
      <c r="O51" s="5" t="n">
        <f aca="false">F51*G51</f>
        <v>6500</v>
      </c>
      <c r="P51" s="5" t="n">
        <f aca="false">F51*H51</f>
        <v>4524</v>
      </c>
      <c r="Q51" s="5" t="n">
        <f aca="false">O51-P51</f>
        <v>1976</v>
      </c>
      <c r="R51" s="6" t="n">
        <f aca="false">Q51/O51</f>
        <v>0.304</v>
      </c>
      <c r="S51" s="1" t="str">
        <f aca="false">IF(R51&gt;=30%,"Alta",IF(R51&gt;=15%,"Media","Baja"))</f>
        <v>Alta</v>
      </c>
      <c r="T51" s="1" t="str">
        <f aca="false">IF(O51&gt;=10000,"Grande",IF(O51&gt;=5000,"Mediana","Pequeña"))</f>
        <v>Mediana</v>
      </c>
      <c r="U51" s="1" t="str">
        <f aca="false">IF(AND(N51="Estratégico",R51&gt;=30%),"Alta",IF(OR(AND(N51="Estratégico",R51&lt;30%),AND(N51="Potencial",R51&gt;=30%)),"Media","Baja"))</f>
        <v>Media</v>
      </c>
    </row>
    <row r="52" customFormat="false" ht="15" hidden="false" customHeight="true" outlineLevel="0" collapsed="false">
      <c r="A52" s="3" t="s">
        <v>89</v>
      </c>
      <c r="B52" s="4" t="n">
        <v>46074</v>
      </c>
      <c r="C52" s="1" t="s">
        <v>27</v>
      </c>
      <c r="D52" s="1" t="s">
        <v>23</v>
      </c>
      <c r="E52" s="1" t="s">
        <v>29</v>
      </c>
      <c r="F52" s="1" t="n">
        <v>1450</v>
      </c>
      <c r="G52" s="1" t="n">
        <v>4.8</v>
      </c>
      <c r="H52" s="5" t="n">
        <v>3.2</v>
      </c>
      <c r="I52" s="5" t="s">
        <v>30</v>
      </c>
      <c r="J52" s="1" t="str">
        <f aca="false">VLOOKUP(D52,Productos!$A$2:$D$6,2,FALSE())</f>
        <v>Miel natural</v>
      </c>
      <c r="K52" s="1" t="str">
        <f aca="false">VLOOKUP(D52,Productos!$A$2:$D$6,3,FALSE())</f>
        <v>Apícola</v>
      </c>
      <c r="L52" s="1" t="str">
        <f aca="false">VLOOKUP(E52,Mercados!$A$2:$D$7,2,FALSE())</f>
        <v>Norteamérica</v>
      </c>
      <c r="M52" s="6" t="n">
        <f aca="false">VLOOKUP(E52,Mercados!$A$2:$D$7,3,FALSE())</f>
        <v>0.05</v>
      </c>
      <c r="N52" s="1" t="str">
        <f aca="false">VLOOKUP(E52,Mercados!$A$2:$D$7,4,FALSE())</f>
        <v>Estratégico</v>
      </c>
      <c r="O52" s="5" t="n">
        <f aca="false">F52*G52</f>
        <v>6960</v>
      </c>
      <c r="P52" s="5" t="n">
        <f aca="false">F52*H52</f>
        <v>4640</v>
      </c>
      <c r="Q52" s="5" t="n">
        <f aca="false">O52-P52</f>
        <v>2320</v>
      </c>
      <c r="R52" s="6" t="n">
        <f aca="false">Q52/O52</f>
        <v>0.333333333333333</v>
      </c>
      <c r="S52" s="1" t="str">
        <f aca="false">IF(R52&gt;=30%,"Alta",IF(R52&gt;=15%,"Media","Baja"))</f>
        <v>Alta</v>
      </c>
      <c r="T52" s="1" t="str">
        <f aca="false">IF(O52&gt;=10000,"Grande",IF(O52&gt;=5000,"Mediana","Pequeña"))</f>
        <v>Mediana</v>
      </c>
      <c r="U52" s="1" t="str">
        <f aca="false">IF(AND(N52="Estratégico",R52&gt;=30%),"Alta",IF(OR(AND(N52="Estratégico",R52&lt;30%),AND(N52="Potencial",R52&gt;=30%)),"Media","Baja"))</f>
        <v>Alta</v>
      </c>
    </row>
    <row r="53" customFormat="false" ht="15" hidden="false" customHeight="true" outlineLevel="0" collapsed="false">
      <c r="A53" s="3" t="s">
        <v>90</v>
      </c>
      <c r="B53" s="4" t="n">
        <v>46082</v>
      </c>
      <c r="C53" s="1" t="s">
        <v>22</v>
      </c>
      <c r="D53" s="1" t="s">
        <v>37</v>
      </c>
      <c r="E53" s="1" t="s">
        <v>24</v>
      </c>
      <c r="F53" s="1" t="n">
        <v>880</v>
      </c>
      <c r="G53" s="1" t="n">
        <v>7.1</v>
      </c>
      <c r="H53" s="5" t="n">
        <v>4.8</v>
      </c>
      <c r="I53" s="5" t="s">
        <v>39</v>
      </c>
      <c r="J53" s="1" t="str">
        <f aca="false">VLOOKUP(D53,Productos!$A$2:$D$6,2,FALSE())</f>
        <v>Cacao en grano</v>
      </c>
      <c r="K53" s="1" t="str">
        <f aca="false">VLOOKUP(D53,Productos!$A$2:$D$6,3,FALSE())</f>
        <v>Cacao</v>
      </c>
      <c r="L53" s="1" t="str">
        <f aca="false">VLOOKUP(E53,Mercados!$A$2:$D$7,2,FALSE())</f>
        <v>Centroamérica</v>
      </c>
      <c r="M53" s="6" t="n">
        <f aca="false">VLOOKUP(E53,Mercados!$A$2:$D$7,3,FALSE())</f>
        <v>0.03</v>
      </c>
      <c r="N53" s="1" t="str">
        <f aca="false">VLOOKUP(E53,Mercados!$A$2:$D$7,4,FALSE())</f>
        <v>Estratégico</v>
      </c>
      <c r="O53" s="5" t="n">
        <f aca="false">F53*G53</f>
        <v>6248</v>
      </c>
      <c r="P53" s="5" t="n">
        <f aca="false">F53*H53</f>
        <v>4224</v>
      </c>
      <c r="Q53" s="5" t="n">
        <f aca="false">O53-P53</f>
        <v>2024</v>
      </c>
      <c r="R53" s="6" t="n">
        <f aca="false">Q53/O53</f>
        <v>0.323943661971831</v>
      </c>
      <c r="S53" s="1" t="str">
        <f aca="false">IF(R53&gt;=30%,"Alta",IF(R53&gt;=15%,"Media","Baja"))</f>
        <v>Alta</v>
      </c>
      <c r="T53" s="1" t="str">
        <f aca="false">IF(O53&gt;=10000,"Grande",IF(O53&gt;=5000,"Mediana","Pequeña"))</f>
        <v>Mediana</v>
      </c>
      <c r="U53" s="1" t="str">
        <f aca="false">IF(AND(N53="Estratégico",R53&gt;=30%),"Alta",IF(OR(AND(N53="Estratégico",R53&lt;30%),AND(N53="Potencial",R53&gt;=30%)),"Media","Baja"))</f>
        <v>Alta</v>
      </c>
    </row>
    <row r="54" customFormat="false" ht="15" hidden="false" customHeight="true" outlineLevel="0" collapsed="false">
      <c r="A54" s="3" t="s">
        <v>91</v>
      </c>
      <c r="B54" s="4" t="n">
        <v>46091</v>
      </c>
      <c r="C54" s="1" t="s">
        <v>32</v>
      </c>
      <c r="D54" s="1" t="s">
        <v>28</v>
      </c>
      <c r="E54" s="1" t="s">
        <v>34</v>
      </c>
      <c r="F54" s="1" t="n">
        <v>970</v>
      </c>
      <c r="G54" s="1" t="n">
        <v>6.5</v>
      </c>
      <c r="H54" s="5" t="n">
        <v>4.1</v>
      </c>
      <c r="I54" s="5" t="s">
        <v>25</v>
      </c>
      <c r="J54" s="1" t="str">
        <f aca="false">VLOOKUP(D54,Productos!$A$2:$D$6,2,FALSE())</f>
        <v>Café especial</v>
      </c>
      <c r="K54" s="1" t="str">
        <f aca="false">VLOOKUP(D54,Productos!$A$2:$D$6,3,FALSE())</f>
        <v>Café</v>
      </c>
      <c r="L54" s="1" t="str">
        <f aca="false">VLOOKUP(E54,Mercados!$A$2:$D$7,2,FALSE())</f>
        <v>Centroamérica</v>
      </c>
      <c r="M54" s="6" t="n">
        <f aca="false">VLOOKUP(E54,Mercados!$A$2:$D$7,3,FALSE())</f>
        <v>0.02</v>
      </c>
      <c r="N54" s="1" t="str">
        <f aca="false">VLOOKUP(E54,Mercados!$A$2:$D$7,4,FALSE())</f>
        <v>Estratégico</v>
      </c>
      <c r="O54" s="5" t="n">
        <f aca="false">F54*G54</f>
        <v>6305</v>
      </c>
      <c r="P54" s="5" t="n">
        <f aca="false">F54*H54</f>
        <v>3977</v>
      </c>
      <c r="Q54" s="5" t="n">
        <f aca="false">O54-P54</f>
        <v>2328</v>
      </c>
      <c r="R54" s="6" t="n">
        <f aca="false">Q54/O54</f>
        <v>0.369230769230769</v>
      </c>
      <c r="S54" s="1" t="str">
        <f aca="false">IF(R54&gt;=30%,"Alta",IF(R54&gt;=15%,"Media","Baja"))</f>
        <v>Alta</v>
      </c>
      <c r="T54" s="1" t="str">
        <f aca="false">IF(O54&gt;=10000,"Grande",IF(O54&gt;=5000,"Mediana","Pequeña"))</f>
        <v>Mediana</v>
      </c>
      <c r="U54" s="1" t="str">
        <f aca="false">IF(AND(N54="Estratégico",R54&gt;=30%),"Alta",IF(OR(AND(N54="Estratégico",R54&lt;30%),AND(N54="Potencial",R54&gt;=30%)),"Media","Baja"))</f>
        <v>Alta</v>
      </c>
    </row>
    <row r="55" customFormat="false" ht="15" hidden="false" customHeight="true" outlineLevel="0" collapsed="false">
      <c r="A55" s="3" t="s">
        <v>92</v>
      </c>
      <c r="B55" s="4" t="n">
        <v>46100</v>
      </c>
      <c r="C55" s="1" t="s">
        <v>36</v>
      </c>
      <c r="D55" s="1" t="s">
        <v>33</v>
      </c>
      <c r="E55" s="1" t="s">
        <v>38</v>
      </c>
      <c r="F55" s="1" t="n">
        <v>760</v>
      </c>
      <c r="G55" s="1" t="n">
        <v>8.2</v>
      </c>
      <c r="H55" s="5" t="n">
        <v>5.9</v>
      </c>
      <c r="I55" s="5" t="s">
        <v>30</v>
      </c>
      <c r="J55" s="1" t="str">
        <f aca="false">VLOOKUP(D55,Productos!$A$2:$D$6,2,FALSE())</f>
        <v>Maní procesado</v>
      </c>
      <c r="K55" s="1" t="str">
        <f aca="false">VLOOKUP(D55,Productos!$A$2:$D$6,3,FALSE())</f>
        <v>Semillas</v>
      </c>
      <c r="L55" s="1" t="str">
        <f aca="false">VLOOKUP(E55,Mercados!$A$2:$D$7,2,FALSE())</f>
        <v>Europa</v>
      </c>
      <c r="M55" s="6" t="n">
        <f aca="false">VLOOKUP(E55,Mercados!$A$2:$D$7,3,FALSE())</f>
        <v>0.1</v>
      </c>
      <c r="N55" s="1" t="str">
        <f aca="false">VLOOKUP(E55,Mercados!$A$2:$D$7,4,FALSE())</f>
        <v>Potencial</v>
      </c>
      <c r="O55" s="5" t="n">
        <f aca="false">F55*G55</f>
        <v>6232</v>
      </c>
      <c r="P55" s="5" t="n">
        <f aca="false">F55*H55</f>
        <v>4484</v>
      </c>
      <c r="Q55" s="5" t="n">
        <f aca="false">O55-P55</f>
        <v>1748</v>
      </c>
      <c r="R55" s="6" t="n">
        <f aca="false">Q55/O55</f>
        <v>0.280487804878049</v>
      </c>
      <c r="S55" s="1" t="str">
        <f aca="false">IF(R55&gt;=30%,"Alta",IF(R55&gt;=15%,"Media","Baja"))</f>
        <v>Media</v>
      </c>
      <c r="T55" s="1" t="str">
        <f aca="false">IF(O55&gt;=10000,"Grande",IF(O55&gt;=5000,"Mediana","Pequeña"))</f>
        <v>Mediana</v>
      </c>
      <c r="U55" s="1" t="str">
        <f aca="false">IF(AND(N55="Estratégico",R55&gt;=30%),"Alta",IF(OR(AND(N55="Estratégico",R55&lt;30%),AND(N55="Potencial",R55&gt;=30%)),"Media","Baja"))</f>
        <v>Baja</v>
      </c>
    </row>
    <row r="56" customFormat="false" ht="15" hidden="false" customHeight="true" outlineLevel="0" collapsed="false">
      <c r="A56" s="3" t="s">
        <v>93</v>
      </c>
      <c r="B56" s="4" t="n">
        <v>46109</v>
      </c>
      <c r="C56" s="1" t="s">
        <v>41</v>
      </c>
      <c r="D56" s="1" t="s">
        <v>23</v>
      </c>
      <c r="E56" s="1" t="s">
        <v>43</v>
      </c>
      <c r="F56" s="1" t="n">
        <v>620</v>
      </c>
      <c r="G56" s="1" t="n">
        <v>4.8</v>
      </c>
      <c r="H56" s="5" t="n">
        <v>3.2</v>
      </c>
      <c r="I56" s="5" t="s">
        <v>25</v>
      </c>
      <c r="J56" s="1" t="str">
        <f aca="false">VLOOKUP(D56,Productos!$A$2:$D$6,2,FALSE())</f>
        <v>Miel natural</v>
      </c>
      <c r="K56" s="1" t="str">
        <f aca="false">VLOOKUP(D56,Productos!$A$2:$D$6,3,FALSE())</f>
        <v>Apícola</v>
      </c>
      <c r="L56" s="1" t="str">
        <f aca="false">VLOOKUP(E56,Mercados!$A$2:$D$7,2,FALSE())</f>
        <v>Norteamérica</v>
      </c>
      <c r="M56" s="6" t="n">
        <f aca="false">VLOOKUP(E56,Mercados!$A$2:$D$7,3,FALSE())</f>
        <v>0.08</v>
      </c>
      <c r="N56" s="1" t="str">
        <f aca="false">VLOOKUP(E56,Mercados!$A$2:$D$7,4,FALSE())</f>
        <v>Potencial</v>
      </c>
      <c r="O56" s="5" t="n">
        <f aca="false">F56*G56</f>
        <v>2976</v>
      </c>
      <c r="P56" s="5" t="n">
        <f aca="false">F56*H56</f>
        <v>1984</v>
      </c>
      <c r="Q56" s="5" t="n">
        <f aca="false">O56-P56</f>
        <v>992</v>
      </c>
      <c r="R56" s="6" t="n">
        <f aca="false">Q56/O56</f>
        <v>0.333333333333333</v>
      </c>
      <c r="S56" s="1" t="str">
        <f aca="false">IF(R56&gt;=30%,"Alta",IF(R56&gt;=15%,"Media","Baja"))</f>
        <v>Alta</v>
      </c>
      <c r="T56" s="1" t="str">
        <f aca="false">IF(O56&gt;=10000,"Grande",IF(O56&gt;=5000,"Mediana","Pequeña"))</f>
        <v>Pequeña</v>
      </c>
      <c r="U56" s="1" t="str">
        <f aca="false">IF(AND(N56="Estratégico",R56&gt;=30%),"Alta",IF(OR(AND(N56="Estratégico",R56&lt;30%),AND(N56="Potencial",R56&gt;=30%)),"Media","Baja"))</f>
        <v>Media</v>
      </c>
    </row>
    <row r="57" customFormat="false" ht="15" hidden="false" customHeight="true" outlineLevel="0" collapsed="false">
      <c r="A57" s="3" t="s">
        <v>94</v>
      </c>
      <c r="B57" s="4" t="n">
        <v>46118</v>
      </c>
      <c r="C57" s="1" t="s">
        <v>27</v>
      </c>
      <c r="D57" s="1" t="s">
        <v>42</v>
      </c>
      <c r="E57" s="1" t="s">
        <v>29</v>
      </c>
      <c r="F57" s="1" t="n">
        <v>820</v>
      </c>
      <c r="G57" s="1" t="n">
        <v>12.5</v>
      </c>
      <c r="H57" s="5" t="n">
        <v>8.7</v>
      </c>
      <c r="I57" s="5" t="s">
        <v>30</v>
      </c>
      <c r="J57" s="1" t="str">
        <f aca="false">VLOOKUP(D57,Productos!$A$2:$D$6,2,FALSE())</f>
        <v>Aceite de ajonjolí</v>
      </c>
      <c r="K57" s="1" t="str">
        <f aca="false">VLOOKUP(D57,Productos!$A$2:$D$6,3,FALSE())</f>
        <v>Aceites</v>
      </c>
      <c r="L57" s="1" t="str">
        <f aca="false">VLOOKUP(E57,Mercados!$A$2:$D$7,2,FALSE())</f>
        <v>Norteamérica</v>
      </c>
      <c r="M57" s="6" t="n">
        <f aca="false">VLOOKUP(E57,Mercados!$A$2:$D$7,3,FALSE())</f>
        <v>0.05</v>
      </c>
      <c r="N57" s="1" t="str">
        <f aca="false">VLOOKUP(E57,Mercados!$A$2:$D$7,4,FALSE())</f>
        <v>Estratégico</v>
      </c>
      <c r="O57" s="5" t="n">
        <f aca="false">F57*G57</f>
        <v>10250</v>
      </c>
      <c r="P57" s="5" t="n">
        <f aca="false">F57*H57</f>
        <v>7134</v>
      </c>
      <c r="Q57" s="5" t="n">
        <f aca="false">O57-P57</f>
        <v>3116</v>
      </c>
      <c r="R57" s="6" t="n">
        <f aca="false">Q57/O57</f>
        <v>0.304</v>
      </c>
      <c r="S57" s="1" t="str">
        <f aca="false">IF(R57&gt;=30%,"Alta",IF(R57&gt;=15%,"Media","Baja"))</f>
        <v>Alta</v>
      </c>
      <c r="T57" s="1" t="str">
        <f aca="false">IF(O57&gt;=10000,"Grande",IF(O57&gt;=5000,"Mediana","Pequeña"))</f>
        <v>Grande</v>
      </c>
      <c r="U57" s="1" t="str">
        <f aca="false">IF(AND(N57="Estratégico",R57&gt;=30%),"Alta",IF(OR(AND(N57="Estratégico",R57&lt;30%),AND(N57="Potencial",R57&gt;=30%)),"Media","Baja"))</f>
        <v>Alta</v>
      </c>
    </row>
    <row r="58" customFormat="false" ht="15" hidden="false" customHeight="true" outlineLevel="0" collapsed="false">
      <c r="A58" s="3" t="s">
        <v>95</v>
      </c>
      <c r="B58" s="4" t="n">
        <v>46127</v>
      </c>
      <c r="C58" s="1" t="s">
        <v>22</v>
      </c>
      <c r="D58" s="1" t="s">
        <v>28</v>
      </c>
      <c r="E58" s="1" t="s">
        <v>24</v>
      </c>
      <c r="F58" s="1" t="n">
        <v>1250</v>
      </c>
      <c r="G58" s="1" t="n">
        <v>6.5</v>
      </c>
      <c r="H58" s="5" t="n">
        <v>4.1</v>
      </c>
      <c r="I58" s="5" t="s">
        <v>30</v>
      </c>
      <c r="J58" s="1" t="str">
        <f aca="false">VLOOKUP(D58,Productos!$A$2:$D$6,2,FALSE())</f>
        <v>Café especial</v>
      </c>
      <c r="K58" s="1" t="str">
        <f aca="false">VLOOKUP(D58,Productos!$A$2:$D$6,3,FALSE())</f>
        <v>Café</v>
      </c>
      <c r="L58" s="1" t="str">
        <f aca="false">VLOOKUP(E58,Mercados!$A$2:$D$7,2,FALSE())</f>
        <v>Centroamérica</v>
      </c>
      <c r="M58" s="6" t="n">
        <f aca="false">VLOOKUP(E58,Mercados!$A$2:$D$7,3,FALSE())</f>
        <v>0.03</v>
      </c>
      <c r="N58" s="1" t="str">
        <f aca="false">VLOOKUP(E58,Mercados!$A$2:$D$7,4,FALSE())</f>
        <v>Estratégico</v>
      </c>
      <c r="O58" s="5" t="n">
        <f aca="false">F58*G58</f>
        <v>8125</v>
      </c>
      <c r="P58" s="5" t="n">
        <f aca="false">F58*H58</f>
        <v>5125</v>
      </c>
      <c r="Q58" s="5" t="n">
        <f aca="false">O58-P58</f>
        <v>3000</v>
      </c>
      <c r="R58" s="6" t="n">
        <f aca="false">Q58/O58</f>
        <v>0.369230769230769</v>
      </c>
      <c r="S58" s="1" t="str">
        <f aca="false">IF(R58&gt;=30%,"Alta",IF(R58&gt;=15%,"Media","Baja"))</f>
        <v>Alta</v>
      </c>
      <c r="T58" s="1" t="str">
        <f aca="false">IF(O58&gt;=10000,"Grande",IF(O58&gt;=5000,"Mediana","Pequeña"))</f>
        <v>Mediana</v>
      </c>
      <c r="U58" s="1" t="str">
        <f aca="false">IF(AND(N58="Estratégico",R58&gt;=30%),"Alta",IF(OR(AND(N58="Estratégico",R58&lt;30%),AND(N58="Potencial",R58&gt;=30%)),"Media","Baja"))</f>
        <v>Alta</v>
      </c>
    </row>
    <row r="59" customFormat="false" ht="15" hidden="false" customHeight="true" outlineLevel="0" collapsed="false">
      <c r="A59" s="3" t="s">
        <v>96</v>
      </c>
      <c r="B59" s="4" t="n">
        <v>46136</v>
      </c>
      <c r="C59" s="1" t="s">
        <v>32</v>
      </c>
      <c r="D59" s="1" t="s">
        <v>37</v>
      </c>
      <c r="E59" s="1" t="s">
        <v>34</v>
      </c>
      <c r="F59" s="1" t="n">
        <v>790</v>
      </c>
      <c r="G59" s="1" t="n">
        <v>7.1</v>
      </c>
      <c r="H59" s="5" t="n">
        <v>4.8</v>
      </c>
      <c r="I59" s="5" t="s">
        <v>25</v>
      </c>
      <c r="J59" s="1" t="str">
        <f aca="false">VLOOKUP(D59,Productos!$A$2:$D$6,2,FALSE())</f>
        <v>Cacao en grano</v>
      </c>
      <c r="K59" s="1" t="str">
        <f aca="false">VLOOKUP(D59,Productos!$A$2:$D$6,3,FALSE())</f>
        <v>Cacao</v>
      </c>
      <c r="L59" s="1" t="str">
        <f aca="false">VLOOKUP(E59,Mercados!$A$2:$D$7,2,FALSE())</f>
        <v>Centroamérica</v>
      </c>
      <c r="M59" s="6" t="n">
        <f aca="false">VLOOKUP(E59,Mercados!$A$2:$D$7,3,FALSE())</f>
        <v>0.02</v>
      </c>
      <c r="N59" s="1" t="str">
        <f aca="false">VLOOKUP(E59,Mercados!$A$2:$D$7,4,FALSE())</f>
        <v>Estratégico</v>
      </c>
      <c r="O59" s="5" t="n">
        <f aca="false">F59*G59</f>
        <v>5609</v>
      </c>
      <c r="P59" s="5" t="n">
        <f aca="false">F59*H59</f>
        <v>3792</v>
      </c>
      <c r="Q59" s="5" t="n">
        <f aca="false">O59-P59</f>
        <v>1817</v>
      </c>
      <c r="R59" s="6" t="n">
        <f aca="false">Q59/O59</f>
        <v>0.323943661971831</v>
      </c>
      <c r="S59" s="1" t="str">
        <f aca="false">IF(R59&gt;=30%,"Alta",IF(R59&gt;=15%,"Media","Baja"))</f>
        <v>Alta</v>
      </c>
      <c r="T59" s="1" t="str">
        <f aca="false">IF(O59&gt;=10000,"Grande",IF(O59&gt;=5000,"Mediana","Pequeña"))</f>
        <v>Mediana</v>
      </c>
      <c r="U59" s="1" t="str">
        <f aca="false">IF(AND(N59="Estratégico",R59&gt;=30%),"Alta",IF(OR(AND(N59="Estratégico",R59&lt;30%),AND(N59="Potencial",R59&gt;=30%)),"Media","Baja"))</f>
        <v>Alta</v>
      </c>
    </row>
    <row r="60" customFormat="false" ht="15" hidden="false" customHeight="true" outlineLevel="0" collapsed="false">
      <c r="A60" s="3" t="s">
        <v>97</v>
      </c>
      <c r="B60" s="4" t="n">
        <v>46145</v>
      </c>
      <c r="C60" s="1" t="s">
        <v>36</v>
      </c>
      <c r="D60" s="1" t="s">
        <v>23</v>
      </c>
      <c r="E60" s="1" t="s">
        <v>38</v>
      </c>
      <c r="F60" s="1" t="n">
        <v>980</v>
      </c>
      <c r="G60" s="1" t="n">
        <v>4.8</v>
      </c>
      <c r="H60" s="5" t="n">
        <v>3.2</v>
      </c>
      <c r="I60" s="5" t="s">
        <v>39</v>
      </c>
      <c r="J60" s="1" t="str">
        <f aca="false">VLOOKUP(D60,Productos!$A$2:$D$6,2,FALSE())</f>
        <v>Miel natural</v>
      </c>
      <c r="K60" s="1" t="str">
        <f aca="false">VLOOKUP(D60,Productos!$A$2:$D$6,3,FALSE())</f>
        <v>Apícola</v>
      </c>
      <c r="L60" s="1" t="str">
        <f aca="false">VLOOKUP(E60,Mercados!$A$2:$D$7,2,FALSE())</f>
        <v>Europa</v>
      </c>
      <c r="M60" s="6" t="n">
        <f aca="false">VLOOKUP(E60,Mercados!$A$2:$D$7,3,FALSE())</f>
        <v>0.1</v>
      </c>
      <c r="N60" s="1" t="str">
        <f aca="false">VLOOKUP(E60,Mercados!$A$2:$D$7,4,FALSE())</f>
        <v>Potencial</v>
      </c>
      <c r="O60" s="5" t="n">
        <f aca="false">F60*G60</f>
        <v>4704</v>
      </c>
      <c r="P60" s="5" t="n">
        <f aca="false">F60*H60</f>
        <v>3136</v>
      </c>
      <c r="Q60" s="5" t="n">
        <f aca="false">O60-P60</f>
        <v>1568</v>
      </c>
      <c r="R60" s="6" t="n">
        <f aca="false">Q60/O60</f>
        <v>0.333333333333333</v>
      </c>
      <c r="S60" s="1" t="str">
        <f aca="false">IF(R60&gt;=30%,"Alta",IF(R60&gt;=15%,"Media","Baja"))</f>
        <v>Alta</v>
      </c>
      <c r="T60" s="1" t="str">
        <f aca="false">IF(O60&gt;=10000,"Grande",IF(O60&gt;=5000,"Mediana","Pequeña"))</f>
        <v>Pequeña</v>
      </c>
      <c r="U60" s="1" t="str">
        <f aca="false">IF(AND(N60="Estratégico",R60&gt;=30%),"Alta",IF(OR(AND(N60="Estratégico",R60&lt;30%),AND(N60="Potencial",R60&gt;=30%)),"Media","Baja"))</f>
        <v>Media</v>
      </c>
    </row>
    <row r="61" customFormat="false" ht="15" hidden="false" customHeight="true" outlineLevel="0" collapsed="false">
      <c r="A61" s="3" t="s">
        <v>98</v>
      </c>
      <c r="B61" s="4" t="n">
        <v>46154</v>
      </c>
      <c r="C61" s="1" t="s">
        <v>41</v>
      </c>
      <c r="D61" s="1" t="s">
        <v>33</v>
      </c>
      <c r="E61" s="1" t="s">
        <v>43</v>
      </c>
      <c r="F61" s="1" t="n">
        <v>730</v>
      </c>
      <c r="G61" s="1" t="n">
        <v>8.2</v>
      </c>
      <c r="H61" s="5" t="n">
        <v>5.9</v>
      </c>
      <c r="I61" s="5" t="s">
        <v>30</v>
      </c>
      <c r="J61" s="1" t="str">
        <f aca="false">VLOOKUP(D61,Productos!$A$2:$D$6,2,FALSE())</f>
        <v>Maní procesado</v>
      </c>
      <c r="K61" s="1" t="str">
        <f aca="false">VLOOKUP(D61,Productos!$A$2:$D$6,3,FALSE())</f>
        <v>Semillas</v>
      </c>
      <c r="L61" s="1" t="str">
        <f aca="false">VLOOKUP(E61,Mercados!$A$2:$D$7,2,FALSE())</f>
        <v>Norteamérica</v>
      </c>
      <c r="M61" s="6" t="n">
        <f aca="false">VLOOKUP(E61,Mercados!$A$2:$D$7,3,FALSE())</f>
        <v>0.08</v>
      </c>
      <c r="N61" s="1" t="str">
        <f aca="false">VLOOKUP(E61,Mercados!$A$2:$D$7,4,FALSE())</f>
        <v>Potencial</v>
      </c>
      <c r="O61" s="5" t="n">
        <f aca="false">F61*G61</f>
        <v>5986</v>
      </c>
      <c r="P61" s="5" t="n">
        <f aca="false">F61*H61</f>
        <v>4307</v>
      </c>
      <c r="Q61" s="5" t="n">
        <f aca="false">O61-P61</f>
        <v>1679</v>
      </c>
      <c r="R61" s="6" t="n">
        <f aca="false">Q61/O61</f>
        <v>0.280487804878049</v>
      </c>
      <c r="S61" s="1" t="str">
        <f aca="false">IF(R61&gt;=30%,"Alta",IF(R61&gt;=15%,"Media","Baja"))</f>
        <v>Media</v>
      </c>
      <c r="T61" s="1" t="str">
        <f aca="false">IF(O61&gt;=10000,"Grande",IF(O61&gt;=5000,"Mediana","Pequeña"))</f>
        <v>Mediana</v>
      </c>
      <c r="U61" s="1" t="str">
        <f aca="false">IF(AND(N61="Estratégico",R61&gt;=30%),"Alta",IF(OR(AND(N61="Estratégico",R61&lt;30%),AND(N61="Potencial",R61&gt;=30%)),"Media","Baja"))</f>
        <v>Baja</v>
      </c>
    </row>
    <row r="62" customFormat="false" ht="15" hidden="false" customHeight="true" outlineLevel="0" collapsed="false">
      <c r="A62" s="3" t="s">
        <v>99</v>
      </c>
      <c r="B62" s="4" t="n">
        <v>46163</v>
      </c>
      <c r="C62" s="1" t="s">
        <v>27</v>
      </c>
      <c r="D62" s="1" t="s">
        <v>28</v>
      </c>
      <c r="E62" s="1" t="s">
        <v>29</v>
      </c>
      <c r="F62" s="1" t="n">
        <v>1320</v>
      </c>
      <c r="G62" s="1" t="n">
        <v>6.5</v>
      </c>
      <c r="H62" s="5" t="n">
        <v>4.1</v>
      </c>
      <c r="I62" s="5" t="s">
        <v>25</v>
      </c>
      <c r="J62" s="1" t="str">
        <f aca="false">VLOOKUP(D62,Productos!$A$2:$D$6,2,FALSE())</f>
        <v>Café especial</v>
      </c>
      <c r="K62" s="1" t="str">
        <f aca="false">VLOOKUP(D62,Productos!$A$2:$D$6,3,FALSE())</f>
        <v>Café</v>
      </c>
      <c r="L62" s="1" t="str">
        <f aca="false">VLOOKUP(E62,Mercados!$A$2:$D$7,2,FALSE())</f>
        <v>Norteamérica</v>
      </c>
      <c r="M62" s="6" t="n">
        <f aca="false">VLOOKUP(E62,Mercados!$A$2:$D$7,3,FALSE())</f>
        <v>0.05</v>
      </c>
      <c r="N62" s="1" t="str">
        <f aca="false">VLOOKUP(E62,Mercados!$A$2:$D$7,4,FALSE())</f>
        <v>Estratégico</v>
      </c>
      <c r="O62" s="5" t="n">
        <f aca="false">F62*G62</f>
        <v>8580</v>
      </c>
      <c r="P62" s="5" t="n">
        <f aca="false">F62*H62</f>
        <v>5412</v>
      </c>
      <c r="Q62" s="5" t="n">
        <f aca="false">O62-P62</f>
        <v>3168</v>
      </c>
      <c r="R62" s="6" t="n">
        <f aca="false">Q62/O62</f>
        <v>0.369230769230769</v>
      </c>
      <c r="S62" s="1" t="str">
        <f aca="false">IF(R62&gt;=30%,"Alta",IF(R62&gt;=15%,"Media","Baja"))</f>
        <v>Alta</v>
      </c>
      <c r="T62" s="1" t="str">
        <f aca="false">IF(O62&gt;=10000,"Grande",IF(O62&gt;=5000,"Mediana","Pequeña"))</f>
        <v>Mediana</v>
      </c>
      <c r="U62" s="1" t="str">
        <f aca="false">IF(AND(N62="Estratégico",R62&gt;=30%),"Alta",IF(OR(AND(N62="Estratégico",R62&lt;30%),AND(N62="Potencial",R62&gt;=30%)),"Media","Baja"))</f>
        <v>Alta</v>
      </c>
    </row>
    <row r="63" customFormat="false" ht="15" hidden="false" customHeight="true" outlineLevel="0" collapsed="false">
      <c r="A63" s="3" t="s">
        <v>100</v>
      </c>
      <c r="B63" s="4" t="n">
        <v>46172</v>
      </c>
      <c r="C63" s="1" t="s">
        <v>22</v>
      </c>
      <c r="D63" s="1" t="s">
        <v>42</v>
      </c>
      <c r="E63" s="1" t="s">
        <v>24</v>
      </c>
      <c r="F63" s="1" t="n">
        <v>470</v>
      </c>
      <c r="G63" s="1" t="n">
        <v>12.5</v>
      </c>
      <c r="H63" s="5" t="n">
        <v>8.7</v>
      </c>
      <c r="I63" s="5" t="s">
        <v>30</v>
      </c>
      <c r="J63" s="1" t="str">
        <f aca="false">VLOOKUP(D63,Productos!$A$2:$D$6,2,FALSE())</f>
        <v>Aceite de ajonjolí</v>
      </c>
      <c r="K63" s="1" t="str">
        <f aca="false">VLOOKUP(D63,Productos!$A$2:$D$6,3,FALSE())</f>
        <v>Aceites</v>
      </c>
      <c r="L63" s="1" t="str">
        <f aca="false">VLOOKUP(E63,Mercados!$A$2:$D$7,2,FALSE())</f>
        <v>Centroamérica</v>
      </c>
      <c r="M63" s="6" t="n">
        <f aca="false">VLOOKUP(E63,Mercados!$A$2:$D$7,3,FALSE())</f>
        <v>0.03</v>
      </c>
      <c r="N63" s="1" t="str">
        <f aca="false">VLOOKUP(E63,Mercados!$A$2:$D$7,4,FALSE())</f>
        <v>Estratégico</v>
      </c>
      <c r="O63" s="5" t="n">
        <f aca="false">F63*G63</f>
        <v>5875</v>
      </c>
      <c r="P63" s="5" t="n">
        <f aca="false">F63*H63</f>
        <v>4089</v>
      </c>
      <c r="Q63" s="5" t="n">
        <f aca="false">O63-P63</f>
        <v>1786</v>
      </c>
      <c r="R63" s="6" t="n">
        <f aca="false">Q63/O63</f>
        <v>0.304</v>
      </c>
      <c r="S63" s="1" t="str">
        <f aca="false">IF(R63&gt;=30%,"Alta",IF(R63&gt;=15%,"Media","Baja"))</f>
        <v>Alta</v>
      </c>
      <c r="T63" s="1" t="str">
        <f aca="false">IF(O63&gt;=10000,"Grande",IF(O63&gt;=5000,"Mediana","Pequeña"))</f>
        <v>Mediana</v>
      </c>
      <c r="U63" s="1" t="str">
        <f aca="false">IF(AND(N63="Estratégico",R63&gt;=30%),"Alta",IF(OR(AND(N63="Estratégico",R63&lt;30%),AND(N63="Potencial",R63&gt;=30%)),"Media","Baja"))</f>
        <v>Alta</v>
      </c>
    </row>
    <row r="64" customFormat="false" ht="15" hidden="false" customHeight="true" outlineLevel="0" collapsed="false">
      <c r="A64" s="3" t="s">
        <v>101</v>
      </c>
      <c r="B64" s="4" t="n">
        <v>46181</v>
      </c>
      <c r="C64" s="1" t="s">
        <v>32</v>
      </c>
      <c r="D64" s="1" t="s">
        <v>23</v>
      </c>
      <c r="E64" s="1" t="s">
        <v>34</v>
      </c>
      <c r="F64" s="1" t="n">
        <v>860</v>
      </c>
      <c r="G64" s="1" t="n">
        <v>4.8</v>
      </c>
      <c r="H64" s="5" t="n">
        <v>3.2</v>
      </c>
      <c r="I64" s="5" t="s">
        <v>30</v>
      </c>
      <c r="J64" s="1" t="str">
        <f aca="false">VLOOKUP(D64,Productos!$A$2:$D$6,2,FALSE())</f>
        <v>Miel natural</v>
      </c>
      <c r="K64" s="1" t="str">
        <f aca="false">VLOOKUP(D64,Productos!$A$2:$D$6,3,FALSE())</f>
        <v>Apícola</v>
      </c>
      <c r="L64" s="1" t="str">
        <f aca="false">VLOOKUP(E64,Mercados!$A$2:$D$7,2,FALSE())</f>
        <v>Centroamérica</v>
      </c>
      <c r="M64" s="6" t="n">
        <f aca="false">VLOOKUP(E64,Mercados!$A$2:$D$7,3,FALSE())</f>
        <v>0.02</v>
      </c>
      <c r="N64" s="1" t="str">
        <f aca="false">VLOOKUP(E64,Mercados!$A$2:$D$7,4,FALSE())</f>
        <v>Estratégico</v>
      </c>
      <c r="O64" s="5" t="n">
        <f aca="false">F64*G64</f>
        <v>4128</v>
      </c>
      <c r="P64" s="5" t="n">
        <f aca="false">F64*H64</f>
        <v>2752</v>
      </c>
      <c r="Q64" s="5" t="n">
        <f aca="false">O64-P64</f>
        <v>1376</v>
      </c>
      <c r="R64" s="6" t="n">
        <f aca="false">Q64/O64</f>
        <v>0.333333333333333</v>
      </c>
      <c r="S64" s="1" t="str">
        <f aca="false">IF(R64&gt;=30%,"Alta",IF(R64&gt;=15%,"Media","Baja"))</f>
        <v>Alta</v>
      </c>
      <c r="T64" s="1" t="str">
        <f aca="false">IF(O64&gt;=10000,"Grande",IF(O64&gt;=5000,"Mediana","Pequeña"))</f>
        <v>Pequeña</v>
      </c>
      <c r="U64" s="1" t="str">
        <f aca="false">IF(AND(N64="Estratégico",R64&gt;=30%),"Alta",IF(OR(AND(N64="Estratégico",R64&lt;30%),AND(N64="Potencial",R64&gt;=30%)),"Media","Baja"))</f>
        <v>Alta</v>
      </c>
    </row>
    <row r="65" customFormat="false" ht="15" hidden="false" customHeight="true" outlineLevel="0" collapsed="false">
      <c r="A65" s="3" t="s">
        <v>102</v>
      </c>
      <c r="B65" s="4" t="n">
        <v>46190</v>
      </c>
      <c r="C65" s="1" t="s">
        <v>36</v>
      </c>
      <c r="D65" s="1" t="s">
        <v>37</v>
      </c>
      <c r="E65" s="1" t="s">
        <v>38</v>
      </c>
      <c r="F65" s="1" t="n">
        <v>1040</v>
      </c>
      <c r="G65" s="1" t="n">
        <v>7.1</v>
      </c>
      <c r="H65" s="5" t="n">
        <v>4.8</v>
      </c>
      <c r="I65" s="5" t="s">
        <v>25</v>
      </c>
      <c r="J65" s="1" t="str">
        <f aca="false">VLOOKUP(D65,Productos!$A$2:$D$6,2,FALSE())</f>
        <v>Cacao en grano</v>
      </c>
      <c r="K65" s="1" t="str">
        <f aca="false">VLOOKUP(D65,Productos!$A$2:$D$6,3,FALSE())</f>
        <v>Cacao</v>
      </c>
      <c r="L65" s="1" t="str">
        <f aca="false">VLOOKUP(E65,Mercados!$A$2:$D$7,2,FALSE())</f>
        <v>Europa</v>
      </c>
      <c r="M65" s="6" t="n">
        <f aca="false">VLOOKUP(E65,Mercados!$A$2:$D$7,3,FALSE())</f>
        <v>0.1</v>
      </c>
      <c r="N65" s="1" t="str">
        <f aca="false">VLOOKUP(E65,Mercados!$A$2:$D$7,4,FALSE())</f>
        <v>Potencial</v>
      </c>
      <c r="O65" s="5" t="n">
        <f aca="false">F65*G65</f>
        <v>7384</v>
      </c>
      <c r="P65" s="5" t="n">
        <f aca="false">F65*H65</f>
        <v>4992</v>
      </c>
      <c r="Q65" s="5" t="n">
        <f aca="false">O65-P65</f>
        <v>2392</v>
      </c>
      <c r="R65" s="6" t="n">
        <f aca="false">Q65/O65</f>
        <v>0.323943661971831</v>
      </c>
      <c r="S65" s="1" t="str">
        <f aca="false">IF(R65&gt;=30%,"Alta",IF(R65&gt;=15%,"Media","Baja"))</f>
        <v>Alta</v>
      </c>
      <c r="T65" s="1" t="str">
        <f aca="false">IF(O65&gt;=10000,"Grande",IF(O65&gt;=5000,"Mediana","Pequeña"))</f>
        <v>Mediana</v>
      </c>
      <c r="U65" s="1" t="str">
        <f aca="false">IF(AND(N65="Estratégico",R65&gt;=30%),"Alta",IF(OR(AND(N65="Estratégico",R65&lt;30%),AND(N65="Potencial",R65&gt;=30%)),"Media","Baja"))</f>
        <v>Media</v>
      </c>
    </row>
    <row r="66" customFormat="false" ht="15" hidden="false" customHeight="true" outlineLevel="0" collapsed="false">
      <c r="A66" s="3" t="s">
        <v>103</v>
      </c>
      <c r="B66" s="4" t="n">
        <v>46199</v>
      </c>
      <c r="C66" s="1" t="s">
        <v>41</v>
      </c>
      <c r="D66" s="1" t="s">
        <v>28</v>
      </c>
      <c r="E66" s="1" t="s">
        <v>43</v>
      </c>
      <c r="F66" s="1" t="n">
        <v>890</v>
      </c>
      <c r="G66" s="1" t="n">
        <v>6.5</v>
      </c>
      <c r="H66" s="5" t="n">
        <v>4.1</v>
      </c>
      <c r="I66" s="5" t="s">
        <v>39</v>
      </c>
      <c r="J66" s="1" t="str">
        <f aca="false">VLOOKUP(D66,Productos!$A$2:$D$6,2,FALSE())</f>
        <v>Café especial</v>
      </c>
      <c r="K66" s="1" t="str">
        <f aca="false">VLOOKUP(D66,Productos!$A$2:$D$6,3,FALSE())</f>
        <v>Café</v>
      </c>
      <c r="L66" s="1" t="str">
        <f aca="false">VLOOKUP(E66,Mercados!$A$2:$D$7,2,FALSE())</f>
        <v>Norteamérica</v>
      </c>
      <c r="M66" s="6" t="n">
        <f aca="false">VLOOKUP(E66,Mercados!$A$2:$D$7,3,FALSE())</f>
        <v>0.08</v>
      </c>
      <c r="N66" s="1" t="str">
        <f aca="false">VLOOKUP(E66,Mercados!$A$2:$D$7,4,FALSE())</f>
        <v>Potencial</v>
      </c>
      <c r="O66" s="5" t="n">
        <f aca="false">F66*G66</f>
        <v>5785</v>
      </c>
      <c r="P66" s="5" t="n">
        <f aca="false">F66*H66</f>
        <v>3649</v>
      </c>
      <c r="Q66" s="5" t="n">
        <f aca="false">O66-P66</f>
        <v>2136</v>
      </c>
      <c r="R66" s="6" t="n">
        <f aca="false">Q66/O66</f>
        <v>0.369230769230769</v>
      </c>
      <c r="S66" s="1" t="str">
        <f aca="false">IF(R66&gt;=30%,"Alta",IF(R66&gt;=15%,"Media","Baja"))</f>
        <v>Alta</v>
      </c>
      <c r="T66" s="1" t="str">
        <f aca="false">IF(O66&gt;=10000,"Grande",IF(O66&gt;=5000,"Mediana","Pequeña"))</f>
        <v>Mediana</v>
      </c>
      <c r="U66" s="1" t="str">
        <f aca="false">IF(AND(N66="Estratégico",R66&gt;=30%),"Alta",IF(OR(AND(N66="Estratégico",R66&lt;30%),AND(N66="Potencial",R66&gt;=30%)),"Media","Baja"))</f>
        <v>Media</v>
      </c>
    </row>
    <row r="67" customFormat="false" ht="15" hidden="false" customHeight="true" outlineLevel="0" collapsed="false">
      <c r="A67" s="3" t="s">
        <v>104</v>
      </c>
      <c r="B67" s="4" t="n">
        <v>46208</v>
      </c>
      <c r="C67" s="1" t="s">
        <v>27</v>
      </c>
      <c r="D67" s="1" t="s">
        <v>33</v>
      </c>
      <c r="E67" s="1" t="s">
        <v>29</v>
      </c>
      <c r="F67" s="1" t="n">
        <v>1170</v>
      </c>
      <c r="G67" s="1" t="n">
        <v>8.2</v>
      </c>
      <c r="H67" s="5" t="n">
        <v>5.9</v>
      </c>
      <c r="I67" s="5" t="s">
        <v>30</v>
      </c>
      <c r="J67" s="1" t="str">
        <f aca="false">VLOOKUP(D67,Productos!$A$2:$D$6,2,FALSE())</f>
        <v>Maní procesado</v>
      </c>
      <c r="K67" s="1" t="str">
        <f aca="false">VLOOKUP(D67,Productos!$A$2:$D$6,3,FALSE())</f>
        <v>Semillas</v>
      </c>
      <c r="L67" s="1" t="str">
        <f aca="false">VLOOKUP(E67,Mercados!$A$2:$D$7,2,FALSE())</f>
        <v>Norteamérica</v>
      </c>
      <c r="M67" s="6" t="n">
        <f aca="false">VLOOKUP(E67,Mercados!$A$2:$D$7,3,FALSE())</f>
        <v>0.05</v>
      </c>
      <c r="N67" s="1" t="str">
        <f aca="false">VLOOKUP(E67,Mercados!$A$2:$D$7,4,FALSE())</f>
        <v>Estratégico</v>
      </c>
      <c r="O67" s="5" t="n">
        <f aca="false">F67*G67</f>
        <v>9594</v>
      </c>
      <c r="P67" s="5" t="n">
        <f aca="false">F67*H67</f>
        <v>6903</v>
      </c>
      <c r="Q67" s="5" t="n">
        <f aca="false">O67-P67</f>
        <v>2691</v>
      </c>
      <c r="R67" s="6" t="n">
        <f aca="false">Q67/O67</f>
        <v>0.280487804878049</v>
      </c>
      <c r="S67" s="1" t="str">
        <f aca="false">IF(R67&gt;=30%,"Alta",IF(R67&gt;=15%,"Media","Baja"))</f>
        <v>Media</v>
      </c>
      <c r="T67" s="1" t="str">
        <f aca="false">IF(O67&gt;=10000,"Grande",IF(O67&gt;=5000,"Mediana","Pequeña"))</f>
        <v>Mediana</v>
      </c>
      <c r="U67" s="1" t="str">
        <f aca="false">IF(AND(N67="Estratégico",R67&gt;=30%),"Alta",IF(OR(AND(N67="Estratégico",R67&lt;30%),AND(N67="Potencial",R67&gt;=30%)),"Media","Baja"))</f>
        <v>Media</v>
      </c>
    </row>
    <row r="68" customFormat="false" ht="15" hidden="false" customHeight="true" outlineLevel="0" collapsed="false">
      <c r="A68" s="3" t="s">
        <v>105</v>
      </c>
      <c r="B68" s="4" t="n">
        <v>46217</v>
      </c>
      <c r="C68" s="1" t="s">
        <v>22</v>
      </c>
      <c r="D68" s="1" t="s">
        <v>23</v>
      </c>
      <c r="E68" s="1" t="s">
        <v>24</v>
      </c>
      <c r="F68" s="1" t="n">
        <v>760</v>
      </c>
      <c r="G68" s="1" t="n">
        <v>4.8</v>
      </c>
      <c r="H68" s="5" t="n">
        <v>3.2</v>
      </c>
      <c r="I68" s="5" t="s">
        <v>25</v>
      </c>
      <c r="J68" s="1" t="str">
        <f aca="false">VLOOKUP(D68,Productos!$A$2:$D$6,2,FALSE())</f>
        <v>Miel natural</v>
      </c>
      <c r="K68" s="1" t="str">
        <f aca="false">VLOOKUP(D68,Productos!$A$2:$D$6,3,FALSE())</f>
        <v>Apícola</v>
      </c>
      <c r="L68" s="1" t="str">
        <f aca="false">VLOOKUP(E68,Mercados!$A$2:$D$7,2,FALSE())</f>
        <v>Centroamérica</v>
      </c>
      <c r="M68" s="6" t="n">
        <f aca="false">VLOOKUP(E68,Mercados!$A$2:$D$7,3,FALSE())</f>
        <v>0.03</v>
      </c>
      <c r="N68" s="1" t="str">
        <f aca="false">VLOOKUP(E68,Mercados!$A$2:$D$7,4,FALSE())</f>
        <v>Estratégico</v>
      </c>
      <c r="O68" s="5" t="n">
        <f aca="false">F68*G68</f>
        <v>3648</v>
      </c>
      <c r="P68" s="5" t="n">
        <f aca="false">F68*H68</f>
        <v>2432</v>
      </c>
      <c r="Q68" s="5" t="n">
        <f aca="false">O68-P68</f>
        <v>1216</v>
      </c>
      <c r="R68" s="6" t="n">
        <f aca="false">Q68/O68</f>
        <v>0.333333333333333</v>
      </c>
      <c r="S68" s="1" t="str">
        <f aca="false">IF(R68&gt;=30%,"Alta",IF(R68&gt;=15%,"Media","Baja"))</f>
        <v>Alta</v>
      </c>
      <c r="T68" s="1" t="str">
        <f aca="false">IF(O68&gt;=10000,"Grande",IF(O68&gt;=5000,"Mediana","Pequeña"))</f>
        <v>Pequeña</v>
      </c>
      <c r="U68" s="1" t="str">
        <f aca="false">IF(AND(N68="Estratégico",R68&gt;=30%),"Alta",IF(OR(AND(N68="Estratégico",R68&lt;30%),AND(N68="Potencial",R68&gt;=30%)),"Media","Baja"))</f>
        <v>Alta</v>
      </c>
    </row>
    <row r="69" customFormat="false" ht="15" hidden="false" customHeight="true" outlineLevel="0" collapsed="false">
      <c r="A69" s="3" t="s">
        <v>106</v>
      </c>
      <c r="B69" s="4" t="n">
        <v>46226</v>
      </c>
      <c r="C69" s="1" t="s">
        <v>32</v>
      </c>
      <c r="D69" s="1" t="s">
        <v>42</v>
      </c>
      <c r="E69" s="1" t="s">
        <v>34</v>
      </c>
      <c r="F69" s="1" t="n">
        <v>540</v>
      </c>
      <c r="G69" s="1" t="n">
        <v>12.5</v>
      </c>
      <c r="H69" s="5" t="n">
        <v>8.7</v>
      </c>
      <c r="I69" s="5" t="s">
        <v>30</v>
      </c>
      <c r="J69" s="1" t="str">
        <f aca="false">VLOOKUP(D69,Productos!$A$2:$D$6,2,FALSE())</f>
        <v>Aceite de ajonjolí</v>
      </c>
      <c r="K69" s="1" t="str">
        <f aca="false">VLOOKUP(D69,Productos!$A$2:$D$6,3,FALSE())</f>
        <v>Aceites</v>
      </c>
      <c r="L69" s="1" t="str">
        <f aca="false">VLOOKUP(E69,Mercados!$A$2:$D$7,2,FALSE())</f>
        <v>Centroamérica</v>
      </c>
      <c r="M69" s="6" t="n">
        <f aca="false">VLOOKUP(E69,Mercados!$A$2:$D$7,3,FALSE())</f>
        <v>0.02</v>
      </c>
      <c r="N69" s="1" t="str">
        <f aca="false">VLOOKUP(E69,Mercados!$A$2:$D$7,4,FALSE())</f>
        <v>Estratégico</v>
      </c>
      <c r="O69" s="5" t="n">
        <f aca="false">F69*G69</f>
        <v>6750</v>
      </c>
      <c r="P69" s="5" t="n">
        <f aca="false">F69*H69</f>
        <v>4698</v>
      </c>
      <c r="Q69" s="5" t="n">
        <f aca="false">O69-P69</f>
        <v>2052</v>
      </c>
      <c r="R69" s="6" t="n">
        <f aca="false">Q69/O69</f>
        <v>0.304</v>
      </c>
      <c r="S69" s="1" t="str">
        <f aca="false">IF(R69&gt;=30%,"Alta",IF(R69&gt;=15%,"Media","Baja"))</f>
        <v>Alta</v>
      </c>
      <c r="T69" s="1" t="str">
        <f aca="false">IF(O69&gt;=10000,"Grande",IF(O69&gt;=5000,"Mediana","Pequeña"))</f>
        <v>Mediana</v>
      </c>
      <c r="U69" s="1" t="str">
        <f aca="false">IF(AND(N69="Estratégico",R69&gt;=30%),"Alta",IF(OR(AND(N69="Estratégico",R69&lt;30%),AND(N69="Potencial",R69&gt;=30%)),"Media","Baja"))</f>
        <v>Alta</v>
      </c>
    </row>
    <row r="70" customFormat="false" ht="15" hidden="false" customHeight="true" outlineLevel="0" collapsed="false">
      <c r="A70" s="3" t="s">
        <v>107</v>
      </c>
      <c r="B70" s="4" t="n">
        <v>46235</v>
      </c>
      <c r="C70" s="1" t="s">
        <v>36</v>
      </c>
      <c r="D70" s="1" t="s">
        <v>28</v>
      </c>
      <c r="E70" s="1" t="s">
        <v>38</v>
      </c>
      <c r="F70" s="1" t="n">
        <v>1280</v>
      </c>
      <c r="G70" s="1" t="n">
        <v>6.5</v>
      </c>
      <c r="H70" s="5" t="n">
        <v>4.1</v>
      </c>
      <c r="I70" s="5" t="s">
        <v>25</v>
      </c>
      <c r="J70" s="1" t="str">
        <f aca="false">VLOOKUP(D70,Productos!$A$2:$D$6,2,FALSE())</f>
        <v>Café especial</v>
      </c>
      <c r="K70" s="1" t="str">
        <f aca="false">VLOOKUP(D70,Productos!$A$2:$D$6,3,FALSE())</f>
        <v>Café</v>
      </c>
      <c r="L70" s="1" t="str">
        <f aca="false">VLOOKUP(E70,Mercados!$A$2:$D$7,2,FALSE())</f>
        <v>Europa</v>
      </c>
      <c r="M70" s="6" t="n">
        <f aca="false">VLOOKUP(E70,Mercados!$A$2:$D$7,3,FALSE())</f>
        <v>0.1</v>
      </c>
      <c r="N70" s="1" t="str">
        <f aca="false">VLOOKUP(E70,Mercados!$A$2:$D$7,4,FALSE())</f>
        <v>Potencial</v>
      </c>
      <c r="O70" s="5" t="n">
        <f aca="false">F70*G70</f>
        <v>8320</v>
      </c>
      <c r="P70" s="5" t="n">
        <f aca="false">F70*H70</f>
        <v>5248</v>
      </c>
      <c r="Q70" s="5" t="n">
        <f aca="false">O70-P70</f>
        <v>3072</v>
      </c>
      <c r="R70" s="6" t="n">
        <f aca="false">Q70/O70</f>
        <v>0.369230769230769</v>
      </c>
      <c r="S70" s="1" t="str">
        <f aca="false">IF(R70&gt;=30%,"Alta",IF(R70&gt;=15%,"Media","Baja"))</f>
        <v>Alta</v>
      </c>
      <c r="T70" s="1" t="str">
        <f aca="false">IF(O70&gt;=10000,"Grande",IF(O70&gt;=5000,"Mediana","Pequeña"))</f>
        <v>Mediana</v>
      </c>
      <c r="U70" s="1" t="str">
        <f aca="false">IF(AND(N70="Estratégico",R70&gt;=30%),"Alta",IF(OR(AND(N70="Estratégico",R70&lt;30%),AND(N70="Potencial",R70&gt;=30%)),"Media","Baja"))</f>
        <v>Media</v>
      </c>
    </row>
    <row r="71" customFormat="false" ht="15" hidden="false" customHeight="true" outlineLevel="0" collapsed="false">
      <c r="A71" s="3" t="s">
        <v>108</v>
      </c>
      <c r="B71" s="4" t="n">
        <v>46244</v>
      </c>
      <c r="C71" s="1" t="s">
        <v>41</v>
      </c>
      <c r="D71" s="1" t="s">
        <v>37</v>
      </c>
      <c r="E71" s="1" t="s">
        <v>43</v>
      </c>
      <c r="F71" s="1" t="n">
        <v>930</v>
      </c>
      <c r="G71" s="1" t="n">
        <v>7.1</v>
      </c>
      <c r="H71" s="5" t="n">
        <v>4.8</v>
      </c>
      <c r="I71" s="5" t="s">
        <v>30</v>
      </c>
      <c r="J71" s="1" t="str">
        <f aca="false">VLOOKUP(D71,Productos!$A$2:$D$6,2,FALSE())</f>
        <v>Cacao en grano</v>
      </c>
      <c r="K71" s="1" t="str">
        <f aca="false">VLOOKUP(D71,Productos!$A$2:$D$6,3,FALSE())</f>
        <v>Cacao</v>
      </c>
      <c r="L71" s="1" t="str">
        <f aca="false">VLOOKUP(E71,Mercados!$A$2:$D$7,2,FALSE())</f>
        <v>Norteamérica</v>
      </c>
      <c r="M71" s="6" t="n">
        <f aca="false">VLOOKUP(E71,Mercados!$A$2:$D$7,3,FALSE())</f>
        <v>0.08</v>
      </c>
      <c r="N71" s="1" t="str">
        <f aca="false">VLOOKUP(E71,Mercados!$A$2:$D$7,4,FALSE())</f>
        <v>Potencial</v>
      </c>
      <c r="O71" s="5" t="n">
        <f aca="false">F71*G71</f>
        <v>6603</v>
      </c>
      <c r="P71" s="5" t="n">
        <f aca="false">F71*H71</f>
        <v>4464</v>
      </c>
      <c r="Q71" s="5" t="n">
        <f aca="false">O71-P71</f>
        <v>2139</v>
      </c>
      <c r="R71" s="6" t="n">
        <f aca="false">Q71/O71</f>
        <v>0.323943661971831</v>
      </c>
      <c r="S71" s="1" t="str">
        <f aca="false">IF(R71&gt;=30%,"Alta",IF(R71&gt;=15%,"Media","Baja"))</f>
        <v>Alta</v>
      </c>
      <c r="T71" s="1" t="str">
        <f aca="false">IF(O71&gt;=10000,"Grande",IF(O71&gt;=5000,"Mediana","Pequeña"))</f>
        <v>Mediana</v>
      </c>
      <c r="U71" s="1" t="str">
        <f aca="false">IF(AND(N71="Estratégico",R71&gt;=30%),"Alta",IF(OR(AND(N71="Estratégico",R71&lt;30%),AND(N71="Potencial",R71&gt;=30%)),"Media","Baja"))</f>
        <v>Media</v>
      </c>
    </row>
    <row r="72" customFormat="false" ht="15" hidden="false" customHeight="true" outlineLevel="0" collapsed="false">
      <c r="A72" s="3" t="s">
        <v>109</v>
      </c>
      <c r="B72" s="4" t="n">
        <v>46253</v>
      </c>
      <c r="C72" s="1" t="s">
        <v>27</v>
      </c>
      <c r="D72" s="1" t="s">
        <v>23</v>
      </c>
      <c r="E72" s="1" t="s">
        <v>29</v>
      </c>
      <c r="F72" s="1" t="n">
        <v>1550</v>
      </c>
      <c r="G72" s="1" t="n">
        <v>4.8</v>
      </c>
      <c r="H72" s="5" t="n">
        <v>3.2</v>
      </c>
      <c r="I72" s="5" t="s">
        <v>30</v>
      </c>
      <c r="J72" s="1" t="str">
        <f aca="false">VLOOKUP(D72,Productos!$A$2:$D$6,2,FALSE())</f>
        <v>Miel natural</v>
      </c>
      <c r="K72" s="1" t="str">
        <f aca="false">VLOOKUP(D72,Productos!$A$2:$D$6,3,FALSE())</f>
        <v>Apícola</v>
      </c>
      <c r="L72" s="1" t="str">
        <f aca="false">VLOOKUP(E72,Mercados!$A$2:$D$7,2,FALSE())</f>
        <v>Norteamérica</v>
      </c>
      <c r="M72" s="6" t="n">
        <f aca="false">VLOOKUP(E72,Mercados!$A$2:$D$7,3,FALSE())</f>
        <v>0.05</v>
      </c>
      <c r="N72" s="1" t="str">
        <f aca="false">VLOOKUP(E72,Mercados!$A$2:$D$7,4,FALSE())</f>
        <v>Estratégico</v>
      </c>
      <c r="O72" s="5" t="n">
        <f aca="false">F72*G72</f>
        <v>7440</v>
      </c>
      <c r="P72" s="5" t="n">
        <f aca="false">F72*H72</f>
        <v>4960</v>
      </c>
      <c r="Q72" s="5" t="n">
        <f aca="false">O72-P72</f>
        <v>2480</v>
      </c>
      <c r="R72" s="6" t="n">
        <f aca="false">Q72/O72</f>
        <v>0.333333333333333</v>
      </c>
      <c r="S72" s="1" t="str">
        <f aca="false">IF(R72&gt;=30%,"Alta",IF(R72&gt;=15%,"Media","Baja"))</f>
        <v>Alta</v>
      </c>
      <c r="T72" s="1" t="str">
        <f aca="false">IF(O72&gt;=10000,"Grande",IF(O72&gt;=5000,"Mediana","Pequeña"))</f>
        <v>Mediana</v>
      </c>
      <c r="U72" s="1" t="str">
        <f aca="false">IF(AND(N72="Estratégico",R72&gt;=30%),"Alta",IF(OR(AND(N72="Estratégico",R72&lt;30%),AND(N72="Potencial",R72&gt;=30%)),"Media","Baja"))</f>
        <v>Alta</v>
      </c>
    </row>
    <row r="73" customFormat="false" ht="15" hidden="false" customHeight="true" outlineLevel="0" collapsed="false">
      <c r="A73" s="3" t="s">
        <v>110</v>
      </c>
      <c r="B73" s="4" t="n">
        <v>46262</v>
      </c>
      <c r="C73" s="1" t="s">
        <v>22</v>
      </c>
      <c r="D73" s="1" t="s">
        <v>33</v>
      </c>
      <c r="E73" s="1" t="s">
        <v>24</v>
      </c>
      <c r="F73" s="1" t="n">
        <v>690</v>
      </c>
      <c r="G73" s="1" t="n">
        <v>8.2</v>
      </c>
      <c r="H73" s="5" t="n">
        <v>5.9</v>
      </c>
      <c r="I73" s="5" t="s">
        <v>39</v>
      </c>
      <c r="J73" s="1" t="str">
        <f aca="false">VLOOKUP(D73,Productos!$A$2:$D$6,2,FALSE())</f>
        <v>Maní procesado</v>
      </c>
      <c r="K73" s="1" t="str">
        <f aca="false">VLOOKUP(D73,Productos!$A$2:$D$6,3,FALSE())</f>
        <v>Semillas</v>
      </c>
      <c r="L73" s="1" t="str">
        <f aca="false">VLOOKUP(E73,Mercados!$A$2:$D$7,2,FALSE())</f>
        <v>Centroamérica</v>
      </c>
      <c r="M73" s="6" t="n">
        <f aca="false">VLOOKUP(E73,Mercados!$A$2:$D$7,3,FALSE())</f>
        <v>0.03</v>
      </c>
      <c r="N73" s="1" t="str">
        <f aca="false">VLOOKUP(E73,Mercados!$A$2:$D$7,4,FALSE())</f>
        <v>Estratégico</v>
      </c>
      <c r="O73" s="5" t="n">
        <f aca="false">F73*G73</f>
        <v>5658</v>
      </c>
      <c r="P73" s="5" t="n">
        <f aca="false">F73*H73</f>
        <v>4071</v>
      </c>
      <c r="Q73" s="5" t="n">
        <f aca="false">O73-P73</f>
        <v>1587</v>
      </c>
      <c r="R73" s="6" t="n">
        <f aca="false">Q73/O73</f>
        <v>0.280487804878049</v>
      </c>
      <c r="S73" s="1" t="str">
        <f aca="false">IF(R73&gt;=30%,"Alta",IF(R73&gt;=15%,"Media","Baja"))</f>
        <v>Media</v>
      </c>
      <c r="T73" s="1" t="str">
        <f aca="false">IF(O73&gt;=10000,"Grande",IF(O73&gt;=5000,"Mediana","Pequeña"))</f>
        <v>Mediana</v>
      </c>
      <c r="U73" s="1" t="str">
        <f aca="false">IF(AND(N73="Estratégico",R73&gt;=30%),"Alta",IF(OR(AND(N73="Estratégico",R73&lt;30%),AND(N73="Potencial",R73&gt;=30%)),"Media","Baja"))</f>
        <v>Media</v>
      </c>
    </row>
    <row r="74" customFormat="false" ht="15" hidden="false" customHeight="true" outlineLevel="0" collapsed="false">
      <c r="A74" s="3" t="s">
        <v>111</v>
      </c>
      <c r="B74" s="4" t="n">
        <v>46271</v>
      </c>
      <c r="C74" s="1" t="s">
        <v>32</v>
      </c>
      <c r="D74" s="1" t="s">
        <v>28</v>
      </c>
      <c r="E74" s="1" t="s">
        <v>34</v>
      </c>
      <c r="F74" s="1" t="n">
        <v>1020</v>
      </c>
      <c r="G74" s="1" t="n">
        <v>6.5</v>
      </c>
      <c r="H74" s="5" t="n">
        <v>4.1</v>
      </c>
      <c r="I74" s="5" t="s">
        <v>25</v>
      </c>
      <c r="J74" s="1" t="str">
        <f aca="false">VLOOKUP(D74,Productos!$A$2:$D$6,2,FALSE())</f>
        <v>Café especial</v>
      </c>
      <c r="K74" s="1" t="str">
        <f aca="false">VLOOKUP(D74,Productos!$A$2:$D$6,3,FALSE())</f>
        <v>Café</v>
      </c>
      <c r="L74" s="1" t="str">
        <f aca="false">VLOOKUP(E74,Mercados!$A$2:$D$7,2,FALSE())</f>
        <v>Centroamérica</v>
      </c>
      <c r="M74" s="6" t="n">
        <f aca="false">VLOOKUP(E74,Mercados!$A$2:$D$7,3,FALSE())</f>
        <v>0.02</v>
      </c>
      <c r="N74" s="1" t="str">
        <f aca="false">VLOOKUP(E74,Mercados!$A$2:$D$7,4,FALSE())</f>
        <v>Estratégico</v>
      </c>
      <c r="O74" s="5" t="n">
        <f aca="false">F74*G74</f>
        <v>6630</v>
      </c>
      <c r="P74" s="5" t="n">
        <f aca="false">F74*H74</f>
        <v>4182</v>
      </c>
      <c r="Q74" s="5" t="n">
        <f aca="false">O74-P74</f>
        <v>2448</v>
      </c>
      <c r="R74" s="6" t="n">
        <f aca="false">Q74/O74</f>
        <v>0.369230769230769</v>
      </c>
      <c r="S74" s="1" t="str">
        <f aca="false">IF(R74&gt;=30%,"Alta",IF(R74&gt;=15%,"Media","Baja"))</f>
        <v>Alta</v>
      </c>
      <c r="T74" s="1" t="str">
        <f aca="false">IF(O74&gt;=10000,"Grande",IF(O74&gt;=5000,"Mediana","Pequeña"))</f>
        <v>Mediana</v>
      </c>
      <c r="U74" s="1" t="str">
        <f aca="false">IF(AND(N74="Estratégico",R74&gt;=30%),"Alta",IF(OR(AND(N74="Estratégico",R74&lt;30%),AND(N74="Potencial",R74&gt;=30%)),"Media","Baja"))</f>
        <v>Alta</v>
      </c>
    </row>
    <row r="75" customFormat="false" ht="15" hidden="false" customHeight="true" outlineLevel="0" collapsed="false">
      <c r="A75" s="3" t="s">
        <v>112</v>
      </c>
      <c r="B75" s="4" t="n">
        <v>46280</v>
      </c>
      <c r="C75" s="1" t="s">
        <v>36</v>
      </c>
      <c r="D75" s="1" t="s">
        <v>42</v>
      </c>
      <c r="E75" s="1" t="s">
        <v>38</v>
      </c>
      <c r="F75" s="1" t="n">
        <v>610</v>
      </c>
      <c r="G75" s="1" t="n">
        <v>12.5</v>
      </c>
      <c r="H75" s="5" t="n">
        <v>8.7</v>
      </c>
      <c r="I75" s="5" t="s">
        <v>30</v>
      </c>
      <c r="J75" s="1" t="str">
        <f aca="false">VLOOKUP(D75,Productos!$A$2:$D$6,2,FALSE())</f>
        <v>Aceite de ajonjolí</v>
      </c>
      <c r="K75" s="1" t="str">
        <f aca="false">VLOOKUP(D75,Productos!$A$2:$D$6,3,FALSE())</f>
        <v>Aceites</v>
      </c>
      <c r="L75" s="1" t="str">
        <f aca="false">VLOOKUP(E75,Mercados!$A$2:$D$7,2,FALSE())</f>
        <v>Europa</v>
      </c>
      <c r="M75" s="6" t="n">
        <f aca="false">VLOOKUP(E75,Mercados!$A$2:$D$7,3,FALSE())</f>
        <v>0.1</v>
      </c>
      <c r="N75" s="1" t="str">
        <f aca="false">VLOOKUP(E75,Mercados!$A$2:$D$7,4,FALSE())</f>
        <v>Potencial</v>
      </c>
      <c r="O75" s="5" t="n">
        <f aca="false">F75*G75</f>
        <v>7625</v>
      </c>
      <c r="P75" s="5" t="n">
        <f aca="false">F75*H75</f>
        <v>5307</v>
      </c>
      <c r="Q75" s="5" t="n">
        <f aca="false">O75-P75</f>
        <v>2318</v>
      </c>
      <c r="R75" s="6" t="n">
        <f aca="false">Q75/O75</f>
        <v>0.304</v>
      </c>
      <c r="S75" s="1" t="str">
        <f aca="false">IF(R75&gt;=30%,"Alta",IF(R75&gt;=15%,"Media","Baja"))</f>
        <v>Alta</v>
      </c>
      <c r="T75" s="1" t="str">
        <f aca="false">IF(O75&gt;=10000,"Grande",IF(O75&gt;=5000,"Mediana","Pequeña"))</f>
        <v>Mediana</v>
      </c>
      <c r="U75" s="1" t="str">
        <f aca="false">IF(AND(N75="Estratégico",R75&gt;=30%),"Alta",IF(OR(AND(N75="Estratégico",R75&lt;30%),AND(N75="Potencial",R75&gt;=30%)),"Media","Baja"))</f>
        <v>Media</v>
      </c>
    </row>
    <row r="76" customFormat="false" ht="15" hidden="false" customHeight="true" outlineLevel="0" collapsed="false">
      <c r="A76" s="3" t="s">
        <v>113</v>
      </c>
      <c r="B76" s="4" t="n">
        <v>46289</v>
      </c>
      <c r="C76" s="1" t="s">
        <v>41</v>
      </c>
      <c r="D76" s="1" t="s">
        <v>23</v>
      </c>
      <c r="E76" s="1" t="s">
        <v>43</v>
      </c>
      <c r="F76" s="1" t="n">
        <v>840</v>
      </c>
      <c r="G76" s="1" t="n">
        <v>4.8</v>
      </c>
      <c r="H76" s="5" t="n">
        <v>3.2</v>
      </c>
      <c r="I76" s="5" t="s">
        <v>25</v>
      </c>
      <c r="J76" s="1" t="str">
        <f aca="false">VLOOKUP(D76,Productos!$A$2:$D$6,2,FALSE())</f>
        <v>Miel natural</v>
      </c>
      <c r="K76" s="1" t="str">
        <f aca="false">VLOOKUP(D76,Productos!$A$2:$D$6,3,FALSE())</f>
        <v>Apícola</v>
      </c>
      <c r="L76" s="1" t="str">
        <f aca="false">VLOOKUP(E76,Mercados!$A$2:$D$7,2,FALSE())</f>
        <v>Norteamérica</v>
      </c>
      <c r="M76" s="6" t="n">
        <f aca="false">VLOOKUP(E76,Mercados!$A$2:$D$7,3,FALSE())</f>
        <v>0.08</v>
      </c>
      <c r="N76" s="1" t="str">
        <f aca="false">VLOOKUP(E76,Mercados!$A$2:$D$7,4,FALSE())</f>
        <v>Potencial</v>
      </c>
      <c r="O76" s="5" t="n">
        <f aca="false">F76*G76</f>
        <v>4032</v>
      </c>
      <c r="P76" s="5" t="n">
        <f aca="false">F76*H76</f>
        <v>2688</v>
      </c>
      <c r="Q76" s="5" t="n">
        <f aca="false">O76-P76</f>
        <v>1344</v>
      </c>
      <c r="R76" s="6" t="n">
        <f aca="false">Q76/O76</f>
        <v>0.333333333333333</v>
      </c>
      <c r="S76" s="1" t="str">
        <f aca="false">IF(R76&gt;=30%,"Alta",IF(R76&gt;=15%,"Media","Baja"))</f>
        <v>Alta</v>
      </c>
      <c r="T76" s="1" t="str">
        <f aca="false">IF(O76&gt;=10000,"Grande",IF(O76&gt;=5000,"Mediana","Pequeña"))</f>
        <v>Pequeña</v>
      </c>
      <c r="U76" s="1" t="str">
        <f aca="false">IF(AND(N76="Estratégico",R76&gt;=30%),"Alta",IF(OR(AND(N76="Estratégico",R76&lt;30%),AND(N76="Potencial",R76&gt;=30%)),"Media","Baja"))</f>
        <v>Media</v>
      </c>
    </row>
    <row r="77" customFormat="false" ht="15" hidden="false" customHeight="true" outlineLevel="0" collapsed="false">
      <c r="A77" s="3" t="s">
        <v>114</v>
      </c>
      <c r="B77" s="4" t="n">
        <v>46298</v>
      </c>
      <c r="C77" s="1" t="s">
        <v>27</v>
      </c>
      <c r="D77" s="1" t="s">
        <v>37</v>
      </c>
      <c r="E77" s="1" t="s">
        <v>29</v>
      </c>
      <c r="F77" s="1" t="n">
        <v>1210</v>
      </c>
      <c r="G77" s="1" t="n">
        <v>7.1</v>
      </c>
      <c r="H77" s="5" t="n">
        <v>4.8</v>
      </c>
      <c r="I77" s="5" t="s">
        <v>30</v>
      </c>
      <c r="J77" s="1" t="str">
        <f aca="false">VLOOKUP(D77,Productos!$A$2:$D$6,2,FALSE())</f>
        <v>Cacao en grano</v>
      </c>
      <c r="K77" s="1" t="str">
        <f aca="false">VLOOKUP(D77,Productos!$A$2:$D$6,3,FALSE())</f>
        <v>Cacao</v>
      </c>
      <c r="L77" s="1" t="str">
        <f aca="false">VLOOKUP(E77,Mercados!$A$2:$D$7,2,FALSE())</f>
        <v>Norteamérica</v>
      </c>
      <c r="M77" s="6" t="n">
        <f aca="false">VLOOKUP(E77,Mercados!$A$2:$D$7,3,FALSE())</f>
        <v>0.05</v>
      </c>
      <c r="N77" s="1" t="str">
        <f aca="false">VLOOKUP(E77,Mercados!$A$2:$D$7,4,FALSE())</f>
        <v>Estratégico</v>
      </c>
      <c r="O77" s="5" t="n">
        <f aca="false">F77*G77</f>
        <v>8591</v>
      </c>
      <c r="P77" s="5" t="n">
        <f aca="false">F77*H77</f>
        <v>5808</v>
      </c>
      <c r="Q77" s="5" t="n">
        <f aca="false">O77-P77</f>
        <v>2783</v>
      </c>
      <c r="R77" s="6" t="n">
        <f aca="false">Q77/O77</f>
        <v>0.323943661971831</v>
      </c>
      <c r="S77" s="1" t="str">
        <f aca="false">IF(R77&gt;=30%,"Alta",IF(R77&gt;=15%,"Media","Baja"))</f>
        <v>Alta</v>
      </c>
      <c r="T77" s="1" t="str">
        <f aca="false">IF(O77&gt;=10000,"Grande",IF(O77&gt;=5000,"Mediana","Pequeña"))</f>
        <v>Mediana</v>
      </c>
      <c r="U77" s="1" t="str">
        <f aca="false">IF(AND(N77="Estratégico",R77&gt;=30%),"Alta",IF(OR(AND(N77="Estratégico",R77&lt;30%),AND(N77="Potencial",R77&gt;=30%)),"Media","Baja"))</f>
        <v>Alta</v>
      </c>
    </row>
    <row r="78" customFormat="false" ht="15" hidden="false" customHeight="true" outlineLevel="0" collapsed="false">
      <c r="A78" s="3" t="s">
        <v>115</v>
      </c>
      <c r="B78" s="4" t="n">
        <v>46307</v>
      </c>
      <c r="C78" s="1" t="s">
        <v>22</v>
      </c>
      <c r="D78" s="1" t="s">
        <v>28</v>
      </c>
      <c r="E78" s="1" t="s">
        <v>24</v>
      </c>
      <c r="F78" s="1" t="n">
        <v>1080</v>
      </c>
      <c r="G78" s="1" t="n">
        <v>6.5</v>
      </c>
      <c r="H78" s="5" t="n">
        <v>4.1</v>
      </c>
      <c r="I78" s="5" t="s">
        <v>30</v>
      </c>
      <c r="J78" s="1" t="str">
        <f aca="false">VLOOKUP(D78,Productos!$A$2:$D$6,2,FALSE())</f>
        <v>Café especial</v>
      </c>
      <c r="K78" s="1" t="str">
        <f aca="false">VLOOKUP(D78,Productos!$A$2:$D$6,3,FALSE())</f>
        <v>Café</v>
      </c>
      <c r="L78" s="1" t="str">
        <f aca="false">VLOOKUP(E78,Mercados!$A$2:$D$7,2,FALSE())</f>
        <v>Centroamérica</v>
      </c>
      <c r="M78" s="6" t="n">
        <f aca="false">VLOOKUP(E78,Mercados!$A$2:$D$7,3,FALSE())</f>
        <v>0.03</v>
      </c>
      <c r="N78" s="1" t="str">
        <f aca="false">VLOOKUP(E78,Mercados!$A$2:$D$7,4,FALSE())</f>
        <v>Estratégico</v>
      </c>
      <c r="O78" s="5" t="n">
        <f aca="false">F78*G78</f>
        <v>7020</v>
      </c>
      <c r="P78" s="5" t="n">
        <f aca="false">F78*H78</f>
        <v>4428</v>
      </c>
      <c r="Q78" s="5" t="n">
        <f aca="false">O78-P78</f>
        <v>2592</v>
      </c>
      <c r="R78" s="6" t="n">
        <f aca="false">Q78/O78</f>
        <v>0.369230769230769</v>
      </c>
      <c r="S78" s="1" t="str">
        <f aca="false">IF(R78&gt;=30%,"Alta",IF(R78&gt;=15%,"Media","Baja"))</f>
        <v>Alta</v>
      </c>
      <c r="T78" s="1" t="str">
        <f aca="false">IF(O78&gt;=10000,"Grande",IF(O78&gt;=5000,"Mediana","Pequeña"))</f>
        <v>Mediana</v>
      </c>
      <c r="U78" s="1" t="str">
        <f aca="false">IF(AND(N78="Estratégico",R78&gt;=30%),"Alta",IF(OR(AND(N78="Estratégico",R78&lt;30%),AND(N78="Potencial",R78&gt;=30%)),"Media","Baja"))</f>
        <v>Alta</v>
      </c>
    </row>
    <row r="79" customFormat="false" ht="15" hidden="false" customHeight="true" outlineLevel="0" collapsed="false">
      <c r="A79" s="3" t="s">
        <v>116</v>
      </c>
      <c r="B79" s="4" t="n">
        <v>46316</v>
      </c>
      <c r="C79" s="1" t="s">
        <v>32</v>
      </c>
      <c r="D79" s="1" t="s">
        <v>33</v>
      </c>
      <c r="E79" s="1" t="s">
        <v>34</v>
      </c>
      <c r="F79" s="1" t="n">
        <v>720</v>
      </c>
      <c r="G79" s="1" t="n">
        <v>8.2</v>
      </c>
      <c r="H79" s="5" t="n">
        <v>5.9</v>
      </c>
      <c r="I79" s="5" t="s">
        <v>25</v>
      </c>
      <c r="J79" s="1" t="str">
        <f aca="false">VLOOKUP(D79,Productos!$A$2:$D$6,2,FALSE())</f>
        <v>Maní procesado</v>
      </c>
      <c r="K79" s="1" t="str">
        <f aca="false">VLOOKUP(D79,Productos!$A$2:$D$6,3,FALSE())</f>
        <v>Semillas</v>
      </c>
      <c r="L79" s="1" t="str">
        <f aca="false">VLOOKUP(E79,Mercados!$A$2:$D$7,2,FALSE())</f>
        <v>Centroamérica</v>
      </c>
      <c r="M79" s="6" t="n">
        <f aca="false">VLOOKUP(E79,Mercados!$A$2:$D$7,3,FALSE())</f>
        <v>0.02</v>
      </c>
      <c r="N79" s="1" t="str">
        <f aca="false">VLOOKUP(E79,Mercados!$A$2:$D$7,4,FALSE())</f>
        <v>Estratégico</v>
      </c>
      <c r="O79" s="5" t="n">
        <f aca="false">F79*G79</f>
        <v>5904</v>
      </c>
      <c r="P79" s="5" t="n">
        <f aca="false">F79*H79</f>
        <v>4248</v>
      </c>
      <c r="Q79" s="5" t="n">
        <f aca="false">O79-P79</f>
        <v>1656</v>
      </c>
      <c r="R79" s="6" t="n">
        <f aca="false">Q79/O79</f>
        <v>0.280487804878049</v>
      </c>
      <c r="S79" s="1" t="str">
        <f aca="false">IF(R79&gt;=30%,"Alta",IF(R79&gt;=15%,"Media","Baja"))</f>
        <v>Media</v>
      </c>
      <c r="T79" s="1" t="str">
        <f aca="false">IF(O79&gt;=10000,"Grande",IF(O79&gt;=5000,"Mediana","Pequeña"))</f>
        <v>Mediana</v>
      </c>
      <c r="U79" s="1" t="str">
        <f aca="false">IF(AND(N79="Estratégico",R79&gt;=30%),"Alta",IF(OR(AND(N79="Estratégico",R79&lt;30%),AND(N79="Potencial",R79&gt;=30%)),"Media","Baja"))</f>
        <v>Media</v>
      </c>
    </row>
    <row r="80" customFormat="false" ht="15" hidden="false" customHeight="true" outlineLevel="0" collapsed="false">
      <c r="A80" s="3" t="s">
        <v>117</v>
      </c>
      <c r="B80" s="4" t="n">
        <v>46325</v>
      </c>
      <c r="C80" s="1" t="s">
        <v>36</v>
      </c>
      <c r="D80" s="1" t="s">
        <v>23</v>
      </c>
      <c r="E80" s="1" t="s">
        <v>38</v>
      </c>
      <c r="F80" s="1" t="n">
        <v>1160</v>
      </c>
      <c r="G80" s="1" t="n">
        <v>4.8</v>
      </c>
      <c r="H80" s="5" t="n">
        <v>3.2</v>
      </c>
      <c r="I80" s="5" t="s">
        <v>39</v>
      </c>
      <c r="J80" s="1" t="str">
        <f aca="false">VLOOKUP(D80,Productos!$A$2:$D$6,2,FALSE())</f>
        <v>Miel natural</v>
      </c>
      <c r="K80" s="1" t="str">
        <f aca="false">VLOOKUP(D80,Productos!$A$2:$D$6,3,FALSE())</f>
        <v>Apícola</v>
      </c>
      <c r="L80" s="1" t="str">
        <f aca="false">VLOOKUP(E80,Mercados!$A$2:$D$7,2,FALSE())</f>
        <v>Europa</v>
      </c>
      <c r="M80" s="6" t="n">
        <f aca="false">VLOOKUP(E80,Mercados!$A$2:$D$7,3,FALSE())</f>
        <v>0.1</v>
      </c>
      <c r="N80" s="1" t="str">
        <f aca="false">VLOOKUP(E80,Mercados!$A$2:$D$7,4,FALSE())</f>
        <v>Potencial</v>
      </c>
      <c r="O80" s="5" t="n">
        <f aca="false">F80*G80</f>
        <v>5568</v>
      </c>
      <c r="P80" s="5" t="n">
        <f aca="false">F80*H80</f>
        <v>3712</v>
      </c>
      <c r="Q80" s="5" t="n">
        <f aca="false">O80-P80</f>
        <v>1856</v>
      </c>
      <c r="R80" s="6" t="n">
        <f aca="false">Q80/O80</f>
        <v>0.333333333333333</v>
      </c>
      <c r="S80" s="1" t="str">
        <f aca="false">IF(R80&gt;=30%,"Alta",IF(R80&gt;=15%,"Media","Baja"))</f>
        <v>Alta</v>
      </c>
      <c r="T80" s="1" t="str">
        <f aca="false">IF(O80&gt;=10000,"Grande",IF(O80&gt;=5000,"Mediana","Pequeña"))</f>
        <v>Mediana</v>
      </c>
      <c r="U80" s="1" t="str">
        <f aca="false">IF(AND(N80="Estratégico",R80&gt;=30%),"Alta",IF(OR(AND(N80="Estratégico",R80&lt;30%),AND(N80="Potencial",R80&gt;=30%)),"Media","Baja"))</f>
        <v>Media</v>
      </c>
    </row>
    <row r="81" customFormat="false" ht="15" hidden="false" customHeight="true" outlineLevel="0" collapsed="false">
      <c r="A81" s="3" t="s">
        <v>118</v>
      </c>
      <c r="B81" s="4" t="n">
        <v>46334</v>
      </c>
      <c r="C81" s="1" t="s">
        <v>41</v>
      </c>
      <c r="D81" s="1" t="s">
        <v>42</v>
      </c>
      <c r="E81" s="1" t="s">
        <v>43</v>
      </c>
      <c r="F81" s="1" t="n">
        <v>560</v>
      </c>
      <c r="G81" s="1" t="n">
        <v>12.5</v>
      </c>
      <c r="H81" s="5" t="n">
        <v>8.7</v>
      </c>
      <c r="I81" s="5" t="s">
        <v>30</v>
      </c>
      <c r="J81" s="1" t="str">
        <f aca="false">VLOOKUP(D81,Productos!$A$2:$D$6,2,FALSE())</f>
        <v>Aceite de ajonjolí</v>
      </c>
      <c r="K81" s="1" t="str">
        <f aca="false">VLOOKUP(D81,Productos!$A$2:$D$6,3,FALSE())</f>
        <v>Aceites</v>
      </c>
      <c r="L81" s="1" t="str">
        <f aca="false">VLOOKUP(E81,Mercados!$A$2:$D$7,2,FALSE())</f>
        <v>Norteamérica</v>
      </c>
      <c r="M81" s="6" t="n">
        <f aca="false">VLOOKUP(E81,Mercados!$A$2:$D$7,3,FALSE())</f>
        <v>0.08</v>
      </c>
      <c r="N81" s="1" t="str">
        <f aca="false">VLOOKUP(E81,Mercados!$A$2:$D$7,4,FALSE())</f>
        <v>Potencial</v>
      </c>
      <c r="O81" s="5" t="n">
        <f aca="false">F81*G81</f>
        <v>7000</v>
      </c>
      <c r="P81" s="5" t="n">
        <f aca="false">F81*H81</f>
        <v>4872</v>
      </c>
      <c r="Q81" s="5" t="n">
        <f aca="false">O81-P81</f>
        <v>2128</v>
      </c>
      <c r="R81" s="6" t="n">
        <f aca="false">Q81/O81</f>
        <v>0.304</v>
      </c>
      <c r="S81" s="1" t="str">
        <f aca="false">IF(R81&gt;=30%,"Alta",IF(R81&gt;=15%,"Media","Baja"))</f>
        <v>Alta</v>
      </c>
      <c r="T81" s="1" t="str">
        <f aca="false">IF(O81&gt;=10000,"Grande",IF(O81&gt;=5000,"Mediana","Pequeña"))</f>
        <v>Mediana</v>
      </c>
      <c r="U81" s="1" t="str">
        <f aca="false">IF(AND(N81="Estratégico",R81&gt;=30%),"Alta",IF(OR(AND(N81="Estratégico",R81&lt;30%),AND(N81="Potencial",R81&gt;=30%)),"Media","Baja"))</f>
        <v>Media</v>
      </c>
    </row>
    <row r="82" customFormat="false" ht="15" hidden="false" customHeight="true" outlineLevel="0" collapsed="false">
      <c r="A82" s="3" t="s">
        <v>119</v>
      </c>
      <c r="B82" s="4" t="n">
        <v>46343</v>
      </c>
      <c r="C82" s="1" t="s">
        <v>27</v>
      </c>
      <c r="D82" s="1" t="s">
        <v>28</v>
      </c>
      <c r="E82" s="1" t="s">
        <v>29</v>
      </c>
      <c r="F82" s="1" t="n">
        <v>1380</v>
      </c>
      <c r="G82" s="1" t="n">
        <v>6.5</v>
      </c>
      <c r="H82" s="5" t="n">
        <v>4.1</v>
      </c>
      <c r="I82" s="5" t="s">
        <v>25</v>
      </c>
      <c r="J82" s="1" t="str">
        <f aca="false">VLOOKUP(D82,Productos!$A$2:$D$6,2,FALSE())</f>
        <v>Café especial</v>
      </c>
      <c r="K82" s="1" t="str">
        <f aca="false">VLOOKUP(D82,Productos!$A$2:$D$6,3,FALSE())</f>
        <v>Café</v>
      </c>
      <c r="L82" s="1" t="str">
        <f aca="false">VLOOKUP(E82,Mercados!$A$2:$D$7,2,FALSE())</f>
        <v>Norteamérica</v>
      </c>
      <c r="M82" s="6" t="n">
        <f aca="false">VLOOKUP(E82,Mercados!$A$2:$D$7,3,FALSE())</f>
        <v>0.05</v>
      </c>
      <c r="N82" s="1" t="str">
        <f aca="false">VLOOKUP(E82,Mercados!$A$2:$D$7,4,FALSE())</f>
        <v>Estratégico</v>
      </c>
      <c r="O82" s="5" t="n">
        <f aca="false">F82*G82</f>
        <v>8970</v>
      </c>
      <c r="P82" s="5" t="n">
        <f aca="false">F82*H82</f>
        <v>5658</v>
      </c>
      <c r="Q82" s="5" t="n">
        <f aca="false">O82-P82</f>
        <v>3312</v>
      </c>
      <c r="R82" s="6" t="n">
        <f aca="false">Q82/O82</f>
        <v>0.369230769230769</v>
      </c>
      <c r="S82" s="1" t="str">
        <f aca="false">IF(R82&gt;=30%,"Alta",IF(R82&gt;=15%,"Media","Baja"))</f>
        <v>Alta</v>
      </c>
      <c r="T82" s="1" t="str">
        <f aca="false">IF(O82&gt;=10000,"Grande",IF(O82&gt;=5000,"Mediana","Pequeña"))</f>
        <v>Mediana</v>
      </c>
      <c r="U82" s="1" t="str">
        <f aca="false">IF(AND(N82="Estratégico",R82&gt;=30%),"Alta",IF(OR(AND(N82="Estratégico",R82&lt;30%),AND(N82="Potencial",R82&gt;=30%)),"Media","Baja"))</f>
        <v>Alta</v>
      </c>
    </row>
    <row r="83" customFormat="false" ht="15" hidden="false" customHeight="true" outlineLevel="0" collapsed="false">
      <c r="A83" s="3" t="s">
        <v>120</v>
      </c>
      <c r="B83" s="4" t="n">
        <v>46352</v>
      </c>
      <c r="C83" s="1" t="s">
        <v>22</v>
      </c>
      <c r="D83" s="1" t="s">
        <v>37</v>
      </c>
      <c r="E83" s="1" t="s">
        <v>24</v>
      </c>
      <c r="F83" s="1" t="n">
        <v>940</v>
      </c>
      <c r="G83" s="1" t="n">
        <v>7.1</v>
      </c>
      <c r="H83" s="5" t="n">
        <v>4.8</v>
      </c>
      <c r="I83" s="5" t="s">
        <v>30</v>
      </c>
      <c r="J83" s="1" t="str">
        <f aca="false">VLOOKUP(D83,Productos!$A$2:$D$6,2,FALSE())</f>
        <v>Cacao en grano</v>
      </c>
      <c r="K83" s="1" t="str">
        <f aca="false">VLOOKUP(D83,Productos!$A$2:$D$6,3,FALSE())</f>
        <v>Cacao</v>
      </c>
      <c r="L83" s="1" t="str">
        <f aca="false">VLOOKUP(E83,Mercados!$A$2:$D$7,2,FALSE())</f>
        <v>Centroamérica</v>
      </c>
      <c r="M83" s="6" t="n">
        <f aca="false">VLOOKUP(E83,Mercados!$A$2:$D$7,3,FALSE())</f>
        <v>0.03</v>
      </c>
      <c r="N83" s="1" t="str">
        <f aca="false">VLOOKUP(E83,Mercados!$A$2:$D$7,4,FALSE())</f>
        <v>Estratégico</v>
      </c>
      <c r="O83" s="5" t="n">
        <f aca="false">F83*G83</f>
        <v>6674</v>
      </c>
      <c r="P83" s="5" t="n">
        <f aca="false">F83*H83</f>
        <v>4512</v>
      </c>
      <c r="Q83" s="5" t="n">
        <f aca="false">O83-P83</f>
        <v>2162</v>
      </c>
      <c r="R83" s="6" t="n">
        <f aca="false">Q83/O83</f>
        <v>0.323943661971831</v>
      </c>
      <c r="S83" s="1" t="str">
        <f aca="false">IF(R83&gt;=30%,"Alta",IF(R83&gt;=15%,"Media","Baja"))</f>
        <v>Alta</v>
      </c>
      <c r="T83" s="1" t="str">
        <f aca="false">IF(O83&gt;=10000,"Grande",IF(O83&gt;=5000,"Mediana","Pequeña"))</f>
        <v>Mediana</v>
      </c>
      <c r="U83" s="1" t="str">
        <f aca="false">IF(AND(N83="Estratégico",R83&gt;=30%),"Alta",IF(OR(AND(N83="Estratégico",R83&lt;30%),AND(N83="Potencial",R83&gt;=30%)),"Media","Baja"))</f>
        <v>Alta</v>
      </c>
    </row>
    <row r="84" customFormat="false" ht="15" hidden="false" customHeight="true" outlineLevel="0" collapsed="false">
      <c r="A84" s="3" t="s">
        <v>121</v>
      </c>
      <c r="B84" s="4" t="n">
        <v>46361</v>
      </c>
      <c r="C84" s="1" t="s">
        <v>32</v>
      </c>
      <c r="D84" s="1" t="s">
        <v>23</v>
      </c>
      <c r="E84" s="1" t="s">
        <v>34</v>
      </c>
      <c r="F84" s="1" t="n">
        <v>870</v>
      </c>
      <c r="G84" s="1" t="n">
        <v>4.8</v>
      </c>
      <c r="H84" s="5" t="n">
        <v>3.2</v>
      </c>
      <c r="I84" s="5" t="s">
        <v>25</v>
      </c>
      <c r="J84" s="1" t="str">
        <f aca="false">VLOOKUP(D84,Productos!$A$2:$D$6,2,FALSE())</f>
        <v>Miel natural</v>
      </c>
      <c r="K84" s="1" t="str">
        <f aca="false">VLOOKUP(D84,Productos!$A$2:$D$6,3,FALSE())</f>
        <v>Apícola</v>
      </c>
      <c r="L84" s="1" t="str">
        <f aca="false">VLOOKUP(E84,Mercados!$A$2:$D$7,2,FALSE())</f>
        <v>Centroamérica</v>
      </c>
      <c r="M84" s="6" t="n">
        <f aca="false">VLOOKUP(E84,Mercados!$A$2:$D$7,3,FALSE())</f>
        <v>0.02</v>
      </c>
      <c r="N84" s="1" t="str">
        <f aca="false">VLOOKUP(E84,Mercados!$A$2:$D$7,4,FALSE())</f>
        <v>Estratégico</v>
      </c>
      <c r="O84" s="5" t="n">
        <f aca="false">F84*G84</f>
        <v>4176</v>
      </c>
      <c r="P84" s="5" t="n">
        <f aca="false">F84*H84</f>
        <v>2784</v>
      </c>
      <c r="Q84" s="5" t="n">
        <f aca="false">O84-P84</f>
        <v>1392</v>
      </c>
      <c r="R84" s="6" t="n">
        <f aca="false">Q84/O84</f>
        <v>0.333333333333333</v>
      </c>
      <c r="S84" s="1" t="str">
        <f aca="false">IF(R84&gt;=30%,"Alta",IF(R84&gt;=15%,"Media","Baja"))</f>
        <v>Alta</v>
      </c>
      <c r="T84" s="1" t="str">
        <f aca="false">IF(O84&gt;=10000,"Grande",IF(O84&gt;=5000,"Mediana","Pequeña"))</f>
        <v>Pequeña</v>
      </c>
      <c r="U84" s="1" t="str">
        <f aca="false">IF(AND(N84="Estratégico",R84&gt;=30%),"Alta",IF(OR(AND(N84="Estratégico",R84&lt;30%),AND(N84="Potencial",R84&gt;=30%)),"Media","Baja"))</f>
        <v>Alta</v>
      </c>
    </row>
    <row r="85" customFormat="false" ht="15" hidden="false" customHeight="true" outlineLevel="0" collapsed="false">
      <c r="A85" s="3" t="s">
        <v>122</v>
      </c>
      <c r="B85" s="4" t="n">
        <v>46370</v>
      </c>
      <c r="C85" s="1" t="s">
        <v>36</v>
      </c>
      <c r="D85" s="1" t="s">
        <v>33</v>
      </c>
      <c r="E85" s="1" t="s">
        <v>38</v>
      </c>
      <c r="F85" s="1" t="n">
        <v>810</v>
      </c>
      <c r="G85" s="1" t="n">
        <v>8.2</v>
      </c>
      <c r="H85" s="5" t="n">
        <v>5.9</v>
      </c>
      <c r="I85" s="5" t="s">
        <v>30</v>
      </c>
      <c r="J85" s="1" t="str">
        <f aca="false">VLOOKUP(D85,Productos!$A$2:$D$6,2,FALSE())</f>
        <v>Maní procesado</v>
      </c>
      <c r="K85" s="1" t="str">
        <f aca="false">VLOOKUP(D85,Productos!$A$2:$D$6,3,FALSE())</f>
        <v>Semillas</v>
      </c>
      <c r="L85" s="1" t="str">
        <f aca="false">VLOOKUP(E85,Mercados!$A$2:$D$7,2,FALSE())</f>
        <v>Europa</v>
      </c>
      <c r="M85" s="6" t="n">
        <f aca="false">VLOOKUP(E85,Mercados!$A$2:$D$7,3,FALSE())</f>
        <v>0.1</v>
      </c>
      <c r="N85" s="1" t="str">
        <f aca="false">VLOOKUP(E85,Mercados!$A$2:$D$7,4,FALSE())</f>
        <v>Potencial</v>
      </c>
      <c r="O85" s="5" t="n">
        <f aca="false">F85*G85</f>
        <v>6642</v>
      </c>
      <c r="P85" s="5" t="n">
        <f aca="false">F85*H85</f>
        <v>4779</v>
      </c>
      <c r="Q85" s="5" t="n">
        <f aca="false">O85-P85</f>
        <v>1863</v>
      </c>
      <c r="R85" s="6" t="n">
        <f aca="false">Q85/O85</f>
        <v>0.280487804878049</v>
      </c>
      <c r="S85" s="1" t="str">
        <f aca="false">IF(R85&gt;=30%,"Alta",IF(R85&gt;=15%,"Media","Baja"))</f>
        <v>Media</v>
      </c>
      <c r="T85" s="1" t="str">
        <f aca="false">IF(O85&gt;=10000,"Grande",IF(O85&gt;=5000,"Mediana","Pequeña"))</f>
        <v>Mediana</v>
      </c>
      <c r="U85" s="1" t="str">
        <f aca="false">IF(AND(N85="Estratégico",R85&gt;=30%),"Alta",IF(OR(AND(N85="Estratégico",R85&lt;30%),AND(N85="Potencial",R85&gt;=30%)),"Media","Baja"))</f>
        <v>Baja</v>
      </c>
    </row>
    <row r="86" customFormat="false" ht="15" hidden="false" customHeight="true" outlineLevel="0" collapsed="false">
      <c r="A86" s="3" t="s">
        <v>123</v>
      </c>
      <c r="B86" s="4" t="n">
        <v>46379</v>
      </c>
      <c r="C86" s="1" t="s">
        <v>41</v>
      </c>
      <c r="D86" s="1" t="s">
        <v>28</v>
      </c>
      <c r="E86" s="1" t="s">
        <v>43</v>
      </c>
      <c r="F86" s="1" t="n">
        <v>990</v>
      </c>
      <c r="G86" s="1" t="n">
        <v>6.5</v>
      </c>
      <c r="H86" s="5" t="n">
        <v>4.1</v>
      </c>
      <c r="I86" s="5" t="s">
        <v>39</v>
      </c>
      <c r="J86" s="1" t="str">
        <f aca="false">VLOOKUP(D86,Productos!$A$2:$D$6,2,FALSE())</f>
        <v>Café especial</v>
      </c>
      <c r="K86" s="1" t="str">
        <f aca="false">VLOOKUP(D86,Productos!$A$2:$D$6,3,FALSE())</f>
        <v>Café</v>
      </c>
      <c r="L86" s="1" t="str">
        <f aca="false">VLOOKUP(E86,Mercados!$A$2:$D$7,2,FALSE())</f>
        <v>Norteamérica</v>
      </c>
      <c r="M86" s="6" t="n">
        <f aca="false">VLOOKUP(E86,Mercados!$A$2:$D$7,3,FALSE())</f>
        <v>0.08</v>
      </c>
      <c r="N86" s="1" t="str">
        <f aca="false">VLOOKUP(E86,Mercados!$A$2:$D$7,4,FALSE())</f>
        <v>Potencial</v>
      </c>
      <c r="O86" s="5" t="n">
        <f aca="false">F86*G86</f>
        <v>6435</v>
      </c>
      <c r="P86" s="5" t="n">
        <f aca="false">F86*H86</f>
        <v>4059</v>
      </c>
      <c r="Q86" s="5" t="n">
        <f aca="false">O86-P86</f>
        <v>2376</v>
      </c>
      <c r="R86" s="6" t="n">
        <f aca="false">Q86/O86</f>
        <v>0.369230769230769</v>
      </c>
      <c r="S86" s="1" t="str">
        <f aca="false">IF(R86&gt;=30%,"Alta",IF(R86&gt;=15%,"Media","Baja"))</f>
        <v>Alta</v>
      </c>
      <c r="T86" s="1" t="str">
        <f aca="false">IF(O86&gt;=10000,"Grande",IF(O86&gt;=5000,"Mediana","Pequeña"))</f>
        <v>Mediana</v>
      </c>
      <c r="U86" s="1" t="str">
        <f aca="false">IF(AND(N86="Estratégico",R86&gt;=30%),"Alta",IF(OR(AND(N86="Estratégico",R86&lt;30%),AND(N86="Potencial",R86&gt;=30%)),"Media","Baja"))</f>
        <v>Media</v>
      </c>
    </row>
    <row r="87" customFormat="false" ht="15" hidden="false" customHeight="true" outlineLevel="0" collapsed="false">
      <c r="A87" s="3" t="s">
        <v>124</v>
      </c>
      <c r="B87" s="4" t="n">
        <v>46386</v>
      </c>
      <c r="C87" s="1" t="s">
        <v>27</v>
      </c>
      <c r="D87" s="1" t="s">
        <v>42</v>
      </c>
      <c r="E87" s="1" t="s">
        <v>29</v>
      </c>
      <c r="F87" s="1" t="n">
        <v>730</v>
      </c>
      <c r="G87" s="1" t="n">
        <v>12.5</v>
      </c>
      <c r="H87" s="5" t="n">
        <v>8.7</v>
      </c>
      <c r="I87" s="5" t="s">
        <v>30</v>
      </c>
      <c r="J87" s="1" t="str">
        <f aca="false">VLOOKUP(D87,Productos!$A$2:$D$6,2,FALSE())</f>
        <v>Aceite de ajonjolí</v>
      </c>
      <c r="K87" s="1" t="str">
        <f aca="false">VLOOKUP(D87,Productos!$A$2:$D$6,3,FALSE())</f>
        <v>Aceites</v>
      </c>
      <c r="L87" s="1" t="str">
        <f aca="false">VLOOKUP(E87,Mercados!$A$2:$D$7,2,FALSE())</f>
        <v>Norteamérica</v>
      </c>
      <c r="M87" s="6" t="n">
        <f aca="false">VLOOKUP(E87,Mercados!$A$2:$D$7,3,FALSE())</f>
        <v>0.05</v>
      </c>
      <c r="N87" s="1" t="str">
        <f aca="false">VLOOKUP(E87,Mercados!$A$2:$D$7,4,FALSE())</f>
        <v>Estratégico</v>
      </c>
      <c r="O87" s="5" t="n">
        <f aca="false">F87*G87</f>
        <v>9125</v>
      </c>
      <c r="P87" s="5" t="n">
        <f aca="false">F87*H87</f>
        <v>6351</v>
      </c>
      <c r="Q87" s="5" t="n">
        <f aca="false">O87-P87</f>
        <v>2774</v>
      </c>
      <c r="R87" s="6" t="n">
        <f aca="false">Q87/O87</f>
        <v>0.304</v>
      </c>
      <c r="S87" s="1" t="str">
        <f aca="false">IF(R87&gt;=30%,"Alta",IF(R87&gt;=15%,"Media","Baja"))</f>
        <v>Alta</v>
      </c>
      <c r="T87" s="1" t="str">
        <f aca="false">IF(O87&gt;=10000,"Grande",IF(O87&gt;=5000,"Mediana","Pequeña"))</f>
        <v>Mediana</v>
      </c>
      <c r="U87" s="1" t="str">
        <f aca="false">IF(AND(N87="Estratégico",R87&gt;=30%),"Alta",IF(OR(AND(N87="Estratégico",R87&lt;30%),AND(N87="Potencial",R87&gt;=30%)),"Media","Baja"))</f>
        <v>Alta</v>
      </c>
    </row>
    <row r="88" customFormat="false" ht="15" hidden="false" customHeight="true" outlineLevel="0" collapsed="false">
      <c r="A88" s="3" t="s">
        <v>125</v>
      </c>
      <c r="B88" s="4" t="n">
        <v>46029</v>
      </c>
      <c r="C88" s="1" t="s">
        <v>22</v>
      </c>
      <c r="D88" s="1" t="s">
        <v>33</v>
      </c>
      <c r="E88" s="1" t="s">
        <v>24</v>
      </c>
      <c r="F88" s="1" t="n">
        <v>780</v>
      </c>
      <c r="G88" s="1" t="n">
        <v>8.2</v>
      </c>
      <c r="H88" s="5" t="n">
        <v>5.9</v>
      </c>
      <c r="I88" s="5" t="s">
        <v>25</v>
      </c>
      <c r="J88" s="1" t="str">
        <f aca="false">VLOOKUP(D88,Productos!$A$2:$D$6,2,FALSE())</f>
        <v>Maní procesado</v>
      </c>
      <c r="K88" s="1" t="str">
        <f aca="false">VLOOKUP(D88,Productos!$A$2:$D$6,3,FALSE())</f>
        <v>Semillas</v>
      </c>
      <c r="L88" s="1" t="str">
        <f aca="false">VLOOKUP(E88,Mercados!$A$2:$D$7,2,FALSE())</f>
        <v>Centroamérica</v>
      </c>
      <c r="M88" s="6" t="n">
        <f aca="false">VLOOKUP(E88,Mercados!$A$2:$D$7,3,FALSE())</f>
        <v>0.03</v>
      </c>
      <c r="N88" s="1" t="str">
        <f aca="false">VLOOKUP(E88,Mercados!$A$2:$D$7,4,FALSE())</f>
        <v>Estratégico</v>
      </c>
      <c r="O88" s="5" t="n">
        <f aca="false">F88*G88</f>
        <v>6396</v>
      </c>
      <c r="P88" s="5" t="n">
        <f aca="false">F88*H88</f>
        <v>4602</v>
      </c>
      <c r="Q88" s="5" t="n">
        <f aca="false">O88-P88</f>
        <v>1794</v>
      </c>
      <c r="R88" s="6" t="n">
        <f aca="false">Q88/O88</f>
        <v>0.280487804878049</v>
      </c>
      <c r="S88" s="1" t="str">
        <f aca="false">IF(R88&gt;=30%,"Alta",IF(R88&gt;=15%,"Media","Baja"))</f>
        <v>Media</v>
      </c>
      <c r="T88" s="1" t="str">
        <f aca="false">IF(O88&gt;=10000,"Grande",IF(O88&gt;=5000,"Mediana","Pequeña"))</f>
        <v>Mediana</v>
      </c>
      <c r="U88" s="1" t="str">
        <f aca="false">IF(AND(N88="Estratégico",R88&gt;=30%),"Alta",IF(OR(AND(N88="Estratégico",R88&lt;30%),AND(N88="Potencial",R88&gt;=30%)),"Media","Baja"))</f>
        <v>Media</v>
      </c>
    </row>
    <row r="89" customFormat="false" ht="15" hidden="false" customHeight="true" outlineLevel="0" collapsed="false">
      <c r="A89" s="3" t="s">
        <v>126</v>
      </c>
      <c r="B89" s="4" t="n">
        <v>46038</v>
      </c>
      <c r="C89" s="1" t="s">
        <v>32</v>
      </c>
      <c r="D89" s="1" t="s">
        <v>23</v>
      </c>
      <c r="E89" s="1" t="s">
        <v>34</v>
      </c>
      <c r="F89" s="1" t="n">
        <v>930</v>
      </c>
      <c r="G89" s="1" t="n">
        <v>4.8</v>
      </c>
      <c r="H89" s="5" t="n">
        <v>3.2</v>
      </c>
      <c r="I89" s="5" t="s">
        <v>30</v>
      </c>
      <c r="J89" s="1" t="str">
        <f aca="false">VLOOKUP(D89,Productos!$A$2:$D$6,2,FALSE())</f>
        <v>Miel natural</v>
      </c>
      <c r="K89" s="1" t="str">
        <f aca="false">VLOOKUP(D89,Productos!$A$2:$D$6,3,FALSE())</f>
        <v>Apícola</v>
      </c>
      <c r="L89" s="1" t="str">
        <f aca="false">VLOOKUP(E89,Mercados!$A$2:$D$7,2,FALSE())</f>
        <v>Centroamérica</v>
      </c>
      <c r="M89" s="6" t="n">
        <f aca="false">VLOOKUP(E89,Mercados!$A$2:$D$7,3,FALSE())</f>
        <v>0.02</v>
      </c>
      <c r="N89" s="1" t="str">
        <f aca="false">VLOOKUP(E89,Mercados!$A$2:$D$7,4,FALSE())</f>
        <v>Estratégico</v>
      </c>
      <c r="O89" s="5" t="n">
        <f aca="false">F89*G89</f>
        <v>4464</v>
      </c>
      <c r="P89" s="5" t="n">
        <f aca="false">F89*H89</f>
        <v>2976</v>
      </c>
      <c r="Q89" s="5" t="n">
        <f aca="false">O89-P89</f>
        <v>1488</v>
      </c>
      <c r="R89" s="6" t="n">
        <f aca="false">Q89/O89</f>
        <v>0.333333333333333</v>
      </c>
      <c r="S89" s="1" t="str">
        <f aca="false">IF(R89&gt;=30%,"Alta",IF(R89&gt;=15%,"Media","Baja"))</f>
        <v>Alta</v>
      </c>
      <c r="T89" s="1" t="str">
        <f aca="false">IF(O89&gt;=10000,"Grande",IF(O89&gt;=5000,"Mediana","Pequeña"))</f>
        <v>Pequeña</v>
      </c>
      <c r="U89" s="1" t="str">
        <f aca="false">IF(AND(N89="Estratégico",R89&gt;=30%),"Alta",IF(OR(AND(N89="Estratégico",R89&lt;30%),AND(N89="Potencial",R89&gt;=30%)),"Media","Baja"))</f>
        <v>Alta</v>
      </c>
    </row>
    <row r="90" customFormat="false" ht="15" hidden="false" customHeight="true" outlineLevel="0" collapsed="false">
      <c r="A90" s="3" t="s">
        <v>127</v>
      </c>
      <c r="B90" s="4" t="n">
        <v>46047</v>
      </c>
      <c r="C90" s="1" t="s">
        <v>36</v>
      </c>
      <c r="D90" s="1" t="s">
        <v>37</v>
      </c>
      <c r="E90" s="1" t="s">
        <v>38</v>
      </c>
      <c r="F90" s="1" t="n">
        <v>870</v>
      </c>
      <c r="G90" s="1" t="n">
        <v>7.1</v>
      </c>
      <c r="H90" s="5" t="n">
        <v>4.8</v>
      </c>
      <c r="I90" s="5" t="s">
        <v>39</v>
      </c>
      <c r="J90" s="1" t="str">
        <f aca="false">VLOOKUP(D90,Productos!$A$2:$D$6,2,FALSE())</f>
        <v>Cacao en grano</v>
      </c>
      <c r="K90" s="1" t="str">
        <f aca="false">VLOOKUP(D90,Productos!$A$2:$D$6,3,FALSE())</f>
        <v>Cacao</v>
      </c>
      <c r="L90" s="1" t="str">
        <f aca="false">VLOOKUP(E90,Mercados!$A$2:$D$7,2,FALSE())</f>
        <v>Europa</v>
      </c>
      <c r="M90" s="6" t="n">
        <f aca="false">VLOOKUP(E90,Mercados!$A$2:$D$7,3,FALSE())</f>
        <v>0.1</v>
      </c>
      <c r="N90" s="1" t="str">
        <f aca="false">VLOOKUP(E90,Mercados!$A$2:$D$7,4,FALSE())</f>
        <v>Potencial</v>
      </c>
      <c r="O90" s="5" t="n">
        <f aca="false">F90*G90</f>
        <v>6177</v>
      </c>
      <c r="P90" s="5" t="n">
        <f aca="false">F90*H90</f>
        <v>4176</v>
      </c>
      <c r="Q90" s="5" t="n">
        <f aca="false">O90-P90</f>
        <v>2001</v>
      </c>
      <c r="R90" s="6" t="n">
        <f aca="false">Q90/O90</f>
        <v>0.323943661971831</v>
      </c>
      <c r="S90" s="1" t="str">
        <f aca="false">IF(R90&gt;=30%,"Alta",IF(R90&gt;=15%,"Media","Baja"))</f>
        <v>Alta</v>
      </c>
      <c r="T90" s="1" t="str">
        <f aca="false">IF(O90&gt;=10000,"Grande",IF(O90&gt;=5000,"Mediana","Pequeña"))</f>
        <v>Mediana</v>
      </c>
      <c r="U90" s="1" t="str">
        <f aca="false">IF(AND(N90="Estratégico",R90&gt;=30%),"Alta",IF(OR(AND(N90="Estratégico",R90&lt;30%),AND(N90="Potencial",R90&gt;=30%)),"Media","Baja"))</f>
        <v>Media</v>
      </c>
    </row>
    <row r="91" customFormat="false" ht="15" hidden="false" customHeight="true" outlineLevel="0" collapsed="false">
      <c r="A91" s="3" t="s">
        <v>128</v>
      </c>
      <c r="B91" s="4" t="n">
        <v>46059</v>
      </c>
      <c r="C91" s="1" t="s">
        <v>41</v>
      </c>
      <c r="D91" s="1" t="s">
        <v>42</v>
      </c>
      <c r="E91" s="1" t="s">
        <v>43</v>
      </c>
      <c r="F91" s="1" t="n">
        <v>480</v>
      </c>
      <c r="G91" s="1" t="n">
        <v>12.5</v>
      </c>
      <c r="H91" s="5" t="n">
        <v>8.7</v>
      </c>
      <c r="I91" s="5" t="s">
        <v>25</v>
      </c>
      <c r="J91" s="1" t="str">
        <f aca="false">VLOOKUP(D91,Productos!$A$2:$D$6,2,FALSE())</f>
        <v>Aceite de ajonjolí</v>
      </c>
      <c r="K91" s="1" t="str">
        <f aca="false">VLOOKUP(D91,Productos!$A$2:$D$6,3,FALSE())</f>
        <v>Aceites</v>
      </c>
      <c r="L91" s="1" t="str">
        <f aca="false">VLOOKUP(E91,Mercados!$A$2:$D$7,2,FALSE())</f>
        <v>Norteamérica</v>
      </c>
      <c r="M91" s="6" t="n">
        <f aca="false">VLOOKUP(E91,Mercados!$A$2:$D$7,3,FALSE())</f>
        <v>0.08</v>
      </c>
      <c r="N91" s="1" t="str">
        <f aca="false">VLOOKUP(E91,Mercados!$A$2:$D$7,4,FALSE())</f>
        <v>Potencial</v>
      </c>
      <c r="O91" s="5" t="n">
        <f aca="false">F91*G91</f>
        <v>6000</v>
      </c>
      <c r="P91" s="5" t="n">
        <f aca="false">F91*H91</f>
        <v>4176</v>
      </c>
      <c r="Q91" s="5" t="n">
        <f aca="false">O91-P91</f>
        <v>1824</v>
      </c>
      <c r="R91" s="6" t="n">
        <f aca="false">Q91/O91</f>
        <v>0.304</v>
      </c>
      <c r="S91" s="1" t="str">
        <f aca="false">IF(R91&gt;=30%,"Alta",IF(R91&gt;=15%,"Media","Baja"))</f>
        <v>Alta</v>
      </c>
      <c r="T91" s="1" t="str">
        <f aca="false">IF(O91&gt;=10000,"Grande",IF(O91&gt;=5000,"Mediana","Pequeña"))</f>
        <v>Mediana</v>
      </c>
      <c r="U91" s="1" t="str">
        <f aca="false">IF(AND(N91="Estratégico",R91&gt;=30%),"Alta",IF(OR(AND(N91="Estratégico",R91&lt;30%),AND(N91="Potencial",R91&gt;=30%)),"Media","Baja"))</f>
        <v>Media</v>
      </c>
    </row>
    <row r="92" customFormat="false" ht="15" hidden="false" customHeight="true" outlineLevel="0" collapsed="false">
      <c r="A92" s="3" t="s">
        <v>129</v>
      </c>
      <c r="B92" s="4" t="n">
        <v>46068</v>
      </c>
      <c r="C92" s="1" t="s">
        <v>27</v>
      </c>
      <c r="D92" s="1" t="s">
        <v>28</v>
      </c>
      <c r="E92" s="1" t="s">
        <v>29</v>
      </c>
      <c r="F92" s="1" t="n">
        <v>1260</v>
      </c>
      <c r="G92" s="1" t="n">
        <v>6.5</v>
      </c>
      <c r="H92" s="5" t="n">
        <v>4.1</v>
      </c>
      <c r="I92" s="5" t="s">
        <v>30</v>
      </c>
      <c r="J92" s="1" t="str">
        <f aca="false">VLOOKUP(D92,Productos!$A$2:$D$6,2,FALSE())</f>
        <v>Café especial</v>
      </c>
      <c r="K92" s="1" t="str">
        <f aca="false">VLOOKUP(D92,Productos!$A$2:$D$6,3,FALSE())</f>
        <v>Café</v>
      </c>
      <c r="L92" s="1" t="str">
        <f aca="false">VLOOKUP(E92,Mercados!$A$2:$D$7,2,FALSE())</f>
        <v>Norteamérica</v>
      </c>
      <c r="M92" s="6" t="n">
        <f aca="false">VLOOKUP(E92,Mercados!$A$2:$D$7,3,FALSE())</f>
        <v>0.05</v>
      </c>
      <c r="N92" s="1" t="str">
        <f aca="false">VLOOKUP(E92,Mercados!$A$2:$D$7,4,FALSE())</f>
        <v>Estratégico</v>
      </c>
      <c r="O92" s="5" t="n">
        <f aca="false">F92*G92</f>
        <v>8190</v>
      </c>
      <c r="P92" s="5" t="n">
        <f aca="false">F92*H92</f>
        <v>5166</v>
      </c>
      <c r="Q92" s="5" t="n">
        <f aca="false">O92-P92</f>
        <v>3024</v>
      </c>
      <c r="R92" s="6" t="n">
        <f aca="false">Q92/O92</f>
        <v>0.369230769230769</v>
      </c>
      <c r="S92" s="1" t="str">
        <f aca="false">IF(R92&gt;=30%,"Alta",IF(R92&gt;=15%,"Media","Baja"))</f>
        <v>Alta</v>
      </c>
      <c r="T92" s="1" t="str">
        <f aca="false">IF(O92&gt;=10000,"Grande",IF(O92&gt;=5000,"Mediana","Pequeña"))</f>
        <v>Mediana</v>
      </c>
      <c r="U92" s="1" t="str">
        <f aca="false">IF(AND(N92="Estratégico",R92&gt;=30%),"Alta",IF(OR(AND(N92="Estratégico",R92&lt;30%),AND(N92="Potencial",R92&gt;=30%)),"Media","Baja"))</f>
        <v>Alta</v>
      </c>
    </row>
    <row r="93" customFormat="false" ht="15" hidden="false" customHeight="true" outlineLevel="0" collapsed="false">
      <c r="A93" s="3" t="s">
        <v>130</v>
      </c>
      <c r="B93" s="4" t="n">
        <v>46077</v>
      </c>
      <c r="C93" s="1" t="s">
        <v>22</v>
      </c>
      <c r="D93" s="1" t="s">
        <v>23</v>
      </c>
      <c r="E93" s="1" t="s">
        <v>24</v>
      </c>
      <c r="F93" s="1" t="n">
        <v>1100</v>
      </c>
      <c r="G93" s="1" t="n">
        <v>4.8</v>
      </c>
      <c r="H93" s="5" t="n">
        <v>3.2</v>
      </c>
      <c r="I93" s="5" t="s">
        <v>25</v>
      </c>
      <c r="J93" s="1" t="str">
        <f aca="false">VLOOKUP(D93,Productos!$A$2:$D$6,2,FALSE())</f>
        <v>Miel natural</v>
      </c>
      <c r="K93" s="1" t="str">
        <f aca="false">VLOOKUP(D93,Productos!$A$2:$D$6,3,FALSE())</f>
        <v>Apícola</v>
      </c>
      <c r="L93" s="1" t="str">
        <f aca="false">VLOOKUP(E93,Mercados!$A$2:$D$7,2,FALSE())</f>
        <v>Centroamérica</v>
      </c>
      <c r="M93" s="6" t="n">
        <f aca="false">VLOOKUP(E93,Mercados!$A$2:$D$7,3,FALSE())</f>
        <v>0.03</v>
      </c>
      <c r="N93" s="1" t="str">
        <f aca="false">VLOOKUP(E93,Mercados!$A$2:$D$7,4,FALSE())</f>
        <v>Estratégico</v>
      </c>
      <c r="O93" s="5" t="n">
        <f aca="false">F93*G93</f>
        <v>5280</v>
      </c>
      <c r="P93" s="5" t="n">
        <f aca="false">F93*H93</f>
        <v>3520</v>
      </c>
      <c r="Q93" s="5" t="n">
        <f aca="false">O93-P93</f>
        <v>1760</v>
      </c>
      <c r="R93" s="6" t="n">
        <f aca="false">Q93/O93</f>
        <v>0.333333333333333</v>
      </c>
      <c r="S93" s="1" t="str">
        <f aca="false">IF(R93&gt;=30%,"Alta",IF(R93&gt;=15%,"Media","Baja"))</f>
        <v>Alta</v>
      </c>
      <c r="T93" s="1" t="str">
        <f aca="false">IF(O93&gt;=10000,"Grande",IF(O93&gt;=5000,"Mediana","Pequeña"))</f>
        <v>Mediana</v>
      </c>
      <c r="U93" s="1" t="str">
        <f aca="false">IF(AND(N93="Estratégico",R93&gt;=30%),"Alta",IF(OR(AND(N93="Estratégico",R93&lt;30%),AND(N93="Potencial",R93&gt;=30%)),"Media","Baja"))</f>
        <v>Alta</v>
      </c>
    </row>
    <row r="94" customFormat="false" ht="15" hidden="false" customHeight="true" outlineLevel="0" collapsed="false">
      <c r="A94" s="3" t="s">
        <v>131</v>
      </c>
      <c r="B94" s="4" t="n">
        <v>46086</v>
      </c>
      <c r="C94" s="1" t="s">
        <v>32</v>
      </c>
      <c r="D94" s="1" t="s">
        <v>42</v>
      </c>
      <c r="E94" s="1" t="s">
        <v>34</v>
      </c>
      <c r="F94" s="1" t="n">
        <v>570</v>
      </c>
      <c r="G94" s="1" t="n">
        <v>12.5</v>
      </c>
      <c r="H94" s="5" t="n">
        <v>8.7</v>
      </c>
      <c r="I94" s="5" t="s">
        <v>30</v>
      </c>
      <c r="J94" s="1" t="str">
        <f aca="false">VLOOKUP(D94,Productos!$A$2:$D$6,2,FALSE())</f>
        <v>Aceite de ajonjolí</v>
      </c>
      <c r="K94" s="1" t="str">
        <f aca="false">VLOOKUP(D94,Productos!$A$2:$D$6,3,FALSE())</f>
        <v>Aceites</v>
      </c>
      <c r="L94" s="1" t="str">
        <f aca="false">VLOOKUP(E94,Mercados!$A$2:$D$7,2,FALSE())</f>
        <v>Centroamérica</v>
      </c>
      <c r="M94" s="6" t="n">
        <f aca="false">VLOOKUP(E94,Mercados!$A$2:$D$7,3,FALSE())</f>
        <v>0.02</v>
      </c>
      <c r="N94" s="1" t="str">
        <f aca="false">VLOOKUP(E94,Mercados!$A$2:$D$7,4,FALSE())</f>
        <v>Estratégico</v>
      </c>
      <c r="O94" s="5" t="n">
        <f aca="false">F94*G94</f>
        <v>7125</v>
      </c>
      <c r="P94" s="5" t="n">
        <f aca="false">F94*H94</f>
        <v>4959</v>
      </c>
      <c r="Q94" s="5" t="n">
        <f aca="false">O94-P94</f>
        <v>2166</v>
      </c>
      <c r="R94" s="6" t="n">
        <f aca="false">Q94/O94</f>
        <v>0.304</v>
      </c>
      <c r="S94" s="1" t="str">
        <f aca="false">IF(R94&gt;=30%,"Alta",IF(R94&gt;=15%,"Media","Baja"))</f>
        <v>Alta</v>
      </c>
      <c r="T94" s="1" t="str">
        <f aca="false">IF(O94&gt;=10000,"Grande",IF(O94&gt;=5000,"Mediana","Pequeña"))</f>
        <v>Mediana</v>
      </c>
      <c r="U94" s="1" t="str">
        <f aca="false">IF(AND(N94="Estratégico",R94&gt;=30%),"Alta",IF(OR(AND(N94="Estratégico",R94&lt;30%),AND(N94="Potencial",R94&gt;=30%)),"Media","Baja"))</f>
        <v>Alta</v>
      </c>
    </row>
    <row r="95" customFormat="false" ht="15" hidden="false" customHeight="true" outlineLevel="0" collapsed="false">
      <c r="A95" s="3" t="s">
        <v>132</v>
      </c>
      <c r="B95" s="4" t="n">
        <v>46095</v>
      </c>
      <c r="C95" s="1" t="s">
        <v>36</v>
      </c>
      <c r="D95" s="1" t="s">
        <v>33</v>
      </c>
      <c r="E95" s="1" t="s">
        <v>38</v>
      </c>
      <c r="F95" s="1" t="n">
        <v>880</v>
      </c>
      <c r="G95" s="1" t="n">
        <v>8.2</v>
      </c>
      <c r="H95" s="5" t="n">
        <v>5.9</v>
      </c>
      <c r="I95" s="5" t="s">
        <v>25</v>
      </c>
      <c r="J95" s="1" t="str">
        <f aca="false">VLOOKUP(D95,Productos!$A$2:$D$6,2,FALSE())</f>
        <v>Maní procesado</v>
      </c>
      <c r="K95" s="1" t="str">
        <f aca="false">VLOOKUP(D95,Productos!$A$2:$D$6,3,FALSE())</f>
        <v>Semillas</v>
      </c>
      <c r="L95" s="1" t="str">
        <f aca="false">VLOOKUP(E95,Mercados!$A$2:$D$7,2,FALSE())</f>
        <v>Europa</v>
      </c>
      <c r="M95" s="6" t="n">
        <f aca="false">VLOOKUP(E95,Mercados!$A$2:$D$7,3,FALSE())</f>
        <v>0.1</v>
      </c>
      <c r="N95" s="1" t="str">
        <f aca="false">VLOOKUP(E95,Mercados!$A$2:$D$7,4,FALSE())</f>
        <v>Potencial</v>
      </c>
      <c r="O95" s="5" t="n">
        <f aca="false">F95*G95</f>
        <v>7216</v>
      </c>
      <c r="P95" s="5" t="n">
        <f aca="false">F95*H95</f>
        <v>5192</v>
      </c>
      <c r="Q95" s="5" t="n">
        <f aca="false">O95-P95</f>
        <v>2024</v>
      </c>
      <c r="R95" s="6" t="n">
        <f aca="false">Q95/O95</f>
        <v>0.280487804878049</v>
      </c>
      <c r="S95" s="1" t="str">
        <f aca="false">IF(R95&gt;=30%,"Alta",IF(R95&gt;=15%,"Media","Baja"))</f>
        <v>Media</v>
      </c>
      <c r="T95" s="1" t="str">
        <f aca="false">IF(O95&gt;=10000,"Grande",IF(O95&gt;=5000,"Mediana","Pequeña"))</f>
        <v>Mediana</v>
      </c>
      <c r="U95" s="1" t="str">
        <f aca="false">IF(AND(N95="Estratégico",R95&gt;=30%),"Alta",IF(OR(AND(N95="Estratégico",R95&lt;30%),AND(N95="Potencial",R95&gt;=30%)),"Media","Baja"))</f>
        <v>Baja</v>
      </c>
    </row>
    <row r="96" customFormat="false" ht="15" hidden="false" customHeight="true" outlineLevel="0" collapsed="false">
      <c r="A96" s="3" t="s">
        <v>133</v>
      </c>
      <c r="B96" s="4" t="n">
        <v>46104</v>
      </c>
      <c r="C96" s="1" t="s">
        <v>41</v>
      </c>
      <c r="D96" s="1" t="s">
        <v>37</v>
      </c>
      <c r="E96" s="1" t="s">
        <v>43</v>
      </c>
      <c r="F96" s="1" t="n">
        <v>1060</v>
      </c>
      <c r="G96" s="1" t="n">
        <v>7.1</v>
      </c>
      <c r="H96" s="5" t="n">
        <v>4.8</v>
      </c>
      <c r="I96" s="5" t="s">
        <v>30</v>
      </c>
      <c r="J96" s="1" t="str">
        <f aca="false">VLOOKUP(D96,Productos!$A$2:$D$6,2,FALSE())</f>
        <v>Cacao en grano</v>
      </c>
      <c r="K96" s="1" t="str">
        <f aca="false">VLOOKUP(D96,Productos!$A$2:$D$6,3,FALSE())</f>
        <v>Cacao</v>
      </c>
      <c r="L96" s="1" t="str">
        <f aca="false">VLOOKUP(E96,Mercados!$A$2:$D$7,2,FALSE())</f>
        <v>Norteamérica</v>
      </c>
      <c r="M96" s="6" t="n">
        <f aca="false">VLOOKUP(E96,Mercados!$A$2:$D$7,3,FALSE())</f>
        <v>0.08</v>
      </c>
      <c r="N96" s="1" t="str">
        <f aca="false">VLOOKUP(E96,Mercados!$A$2:$D$7,4,FALSE())</f>
        <v>Potencial</v>
      </c>
      <c r="O96" s="5" t="n">
        <f aca="false">F96*G96</f>
        <v>7526</v>
      </c>
      <c r="P96" s="5" t="n">
        <f aca="false">F96*H96</f>
        <v>5088</v>
      </c>
      <c r="Q96" s="5" t="n">
        <f aca="false">O96-P96</f>
        <v>2438</v>
      </c>
      <c r="R96" s="6" t="n">
        <f aca="false">Q96/O96</f>
        <v>0.323943661971831</v>
      </c>
      <c r="S96" s="1" t="str">
        <f aca="false">IF(R96&gt;=30%,"Alta",IF(R96&gt;=15%,"Media","Baja"))</f>
        <v>Alta</v>
      </c>
      <c r="T96" s="1" t="str">
        <f aca="false">IF(O96&gt;=10000,"Grande",IF(O96&gt;=5000,"Mediana","Pequeña"))</f>
        <v>Mediana</v>
      </c>
      <c r="U96" s="1" t="str">
        <f aca="false">IF(AND(N96="Estratégico",R96&gt;=30%),"Alta",IF(OR(AND(N96="Estratégico",R96&lt;30%),AND(N96="Potencial",R96&gt;=30%)),"Media","Baja"))</f>
        <v>Media</v>
      </c>
    </row>
    <row r="97" customFormat="false" ht="15" hidden="false" customHeight="true" outlineLevel="0" collapsed="false">
      <c r="A97" s="3" t="s">
        <v>134</v>
      </c>
      <c r="B97" s="4" t="n">
        <v>46114</v>
      </c>
      <c r="C97" s="1" t="s">
        <v>27</v>
      </c>
      <c r="D97" s="1" t="s">
        <v>23</v>
      </c>
      <c r="E97" s="1" t="s">
        <v>29</v>
      </c>
      <c r="F97" s="1" t="n">
        <v>1490</v>
      </c>
      <c r="G97" s="1" t="n">
        <v>4.8</v>
      </c>
      <c r="H97" s="5" t="n">
        <v>3.2</v>
      </c>
      <c r="I97" s="5" t="s">
        <v>39</v>
      </c>
      <c r="J97" s="1" t="str">
        <f aca="false">VLOOKUP(D97,Productos!$A$2:$D$6,2,FALSE())</f>
        <v>Miel natural</v>
      </c>
      <c r="K97" s="1" t="str">
        <f aca="false">VLOOKUP(D97,Productos!$A$2:$D$6,3,FALSE())</f>
        <v>Apícola</v>
      </c>
      <c r="L97" s="1" t="str">
        <f aca="false">VLOOKUP(E97,Mercados!$A$2:$D$7,2,FALSE())</f>
        <v>Norteamérica</v>
      </c>
      <c r="M97" s="6" t="n">
        <f aca="false">VLOOKUP(E97,Mercados!$A$2:$D$7,3,FALSE())</f>
        <v>0.05</v>
      </c>
      <c r="N97" s="1" t="str">
        <f aca="false">VLOOKUP(E97,Mercados!$A$2:$D$7,4,FALSE())</f>
        <v>Estratégico</v>
      </c>
      <c r="O97" s="5" t="n">
        <f aca="false">F97*G97</f>
        <v>7152</v>
      </c>
      <c r="P97" s="5" t="n">
        <f aca="false">F97*H97</f>
        <v>4768</v>
      </c>
      <c r="Q97" s="5" t="n">
        <f aca="false">O97-P97</f>
        <v>2384</v>
      </c>
      <c r="R97" s="6" t="n">
        <f aca="false">Q97/O97</f>
        <v>0.333333333333333</v>
      </c>
      <c r="S97" s="1" t="str">
        <f aca="false">IF(R97&gt;=30%,"Alta",IF(R97&gt;=15%,"Media","Baja"))</f>
        <v>Alta</v>
      </c>
      <c r="T97" s="1" t="str">
        <f aca="false">IF(O97&gt;=10000,"Grande",IF(O97&gt;=5000,"Mediana","Pequeña"))</f>
        <v>Mediana</v>
      </c>
      <c r="U97" s="1" t="str">
        <f aca="false">IF(AND(N97="Estratégico",R97&gt;=30%),"Alta",IF(OR(AND(N97="Estratégico",R97&lt;30%),AND(N97="Potencial",R97&gt;=30%)),"Media","Baja"))</f>
        <v>Alta</v>
      </c>
    </row>
    <row r="98" customFormat="false" ht="15" hidden="false" customHeight="true" outlineLevel="0" collapsed="false">
      <c r="A98" s="3" t="s">
        <v>135</v>
      </c>
      <c r="B98" s="4" t="n">
        <v>46123</v>
      </c>
      <c r="C98" s="1" t="s">
        <v>22</v>
      </c>
      <c r="D98" s="1" t="s">
        <v>28</v>
      </c>
      <c r="E98" s="1" t="s">
        <v>24</v>
      </c>
      <c r="F98" s="1" t="n">
        <v>910</v>
      </c>
      <c r="G98" s="1" t="n">
        <v>6.5</v>
      </c>
      <c r="H98" s="5" t="n">
        <v>4.1</v>
      </c>
      <c r="I98" s="5" t="s">
        <v>25</v>
      </c>
      <c r="J98" s="1" t="str">
        <f aca="false">VLOOKUP(D98,Productos!$A$2:$D$6,2,FALSE())</f>
        <v>Café especial</v>
      </c>
      <c r="K98" s="1" t="str">
        <f aca="false">VLOOKUP(D98,Productos!$A$2:$D$6,3,FALSE())</f>
        <v>Café</v>
      </c>
      <c r="L98" s="1" t="str">
        <f aca="false">VLOOKUP(E98,Mercados!$A$2:$D$7,2,FALSE())</f>
        <v>Centroamérica</v>
      </c>
      <c r="M98" s="6" t="n">
        <f aca="false">VLOOKUP(E98,Mercados!$A$2:$D$7,3,FALSE())</f>
        <v>0.03</v>
      </c>
      <c r="N98" s="1" t="str">
        <f aca="false">VLOOKUP(E98,Mercados!$A$2:$D$7,4,FALSE())</f>
        <v>Estratégico</v>
      </c>
      <c r="O98" s="5" t="n">
        <f aca="false">F98*G98</f>
        <v>5915</v>
      </c>
      <c r="P98" s="5" t="n">
        <f aca="false">F98*H98</f>
        <v>3731</v>
      </c>
      <c r="Q98" s="5" t="n">
        <f aca="false">O98-P98</f>
        <v>2184</v>
      </c>
      <c r="R98" s="6" t="n">
        <f aca="false">Q98/O98</f>
        <v>0.369230769230769</v>
      </c>
      <c r="S98" s="1" t="str">
        <f aca="false">IF(R98&gt;=30%,"Alta",IF(R98&gt;=15%,"Media","Baja"))</f>
        <v>Alta</v>
      </c>
      <c r="T98" s="1" t="str">
        <f aca="false">IF(O98&gt;=10000,"Grande",IF(O98&gt;=5000,"Mediana","Pequeña"))</f>
        <v>Mediana</v>
      </c>
      <c r="U98" s="1" t="str">
        <f aca="false">IF(AND(N98="Estratégico",R98&gt;=30%),"Alta",IF(OR(AND(N98="Estratégico",R98&lt;30%),AND(N98="Potencial",R98&gt;=30%)),"Media","Baja"))</f>
        <v>Alta</v>
      </c>
    </row>
    <row r="99" customFormat="false" ht="15" hidden="false" customHeight="true" outlineLevel="0" collapsed="false">
      <c r="A99" s="3" t="s">
        <v>136</v>
      </c>
      <c r="B99" s="4" t="n">
        <v>46132</v>
      </c>
      <c r="C99" s="1" t="s">
        <v>32</v>
      </c>
      <c r="D99" s="1" t="s">
        <v>33</v>
      </c>
      <c r="E99" s="1" t="s">
        <v>34</v>
      </c>
      <c r="F99" s="1" t="n">
        <v>740</v>
      </c>
      <c r="G99" s="1" t="n">
        <v>8.2</v>
      </c>
      <c r="H99" s="5" t="n">
        <v>5.9</v>
      </c>
      <c r="I99" s="5" t="s">
        <v>30</v>
      </c>
      <c r="J99" s="1" t="str">
        <f aca="false">VLOOKUP(D99,Productos!$A$2:$D$6,2,FALSE())</f>
        <v>Maní procesado</v>
      </c>
      <c r="K99" s="1" t="str">
        <f aca="false">VLOOKUP(D99,Productos!$A$2:$D$6,3,FALSE())</f>
        <v>Semillas</v>
      </c>
      <c r="L99" s="1" t="str">
        <f aca="false">VLOOKUP(E99,Mercados!$A$2:$D$7,2,FALSE())</f>
        <v>Centroamérica</v>
      </c>
      <c r="M99" s="6" t="n">
        <f aca="false">VLOOKUP(E99,Mercados!$A$2:$D$7,3,FALSE())</f>
        <v>0.02</v>
      </c>
      <c r="N99" s="1" t="str">
        <f aca="false">VLOOKUP(E99,Mercados!$A$2:$D$7,4,FALSE())</f>
        <v>Estratégico</v>
      </c>
      <c r="O99" s="5" t="n">
        <f aca="false">F99*G99</f>
        <v>6068</v>
      </c>
      <c r="P99" s="5" t="n">
        <f aca="false">F99*H99</f>
        <v>4366</v>
      </c>
      <c r="Q99" s="5" t="n">
        <f aca="false">O99-P99</f>
        <v>1702</v>
      </c>
      <c r="R99" s="6" t="n">
        <f aca="false">Q99/O99</f>
        <v>0.280487804878049</v>
      </c>
      <c r="S99" s="1" t="str">
        <f aca="false">IF(R99&gt;=30%,"Alta",IF(R99&gt;=15%,"Media","Baja"))</f>
        <v>Media</v>
      </c>
      <c r="T99" s="1" t="str">
        <f aca="false">IF(O99&gt;=10000,"Grande",IF(O99&gt;=5000,"Mediana","Pequeña"))</f>
        <v>Mediana</v>
      </c>
      <c r="U99" s="1" t="str">
        <f aca="false">IF(AND(N99="Estratégico",R99&gt;=30%),"Alta",IF(OR(AND(N99="Estratégico",R99&lt;30%),AND(N99="Potencial",R99&gt;=30%)),"Media","Baja"))</f>
        <v>Media</v>
      </c>
    </row>
    <row r="100" customFormat="false" ht="15" hidden="false" customHeight="true" outlineLevel="0" collapsed="false">
      <c r="A100" s="3" t="s">
        <v>137</v>
      </c>
      <c r="B100" s="4" t="n">
        <v>46141</v>
      </c>
      <c r="C100" s="1" t="s">
        <v>36</v>
      </c>
      <c r="D100" s="1" t="s">
        <v>42</v>
      </c>
      <c r="E100" s="1" t="s">
        <v>38</v>
      </c>
      <c r="F100" s="1" t="n">
        <v>630</v>
      </c>
      <c r="G100" s="1" t="n">
        <v>12.5</v>
      </c>
      <c r="H100" s="5" t="n">
        <v>8.7</v>
      </c>
      <c r="I100" s="5" t="s">
        <v>25</v>
      </c>
      <c r="J100" s="1" t="str">
        <f aca="false">VLOOKUP(D100,Productos!$A$2:$D$6,2,FALSE())</f>
        <v>Aceite de ajonjolí</v>
      </c>
      <c r="K100" s="1" t="str">
        <f aca="false">VLOOKUP(D100,Productos!$A$2:$D$6,3,FALSE())</f>
        <v>Aceites</v>
      </c>
      <c r="L100" s="1" t="str">
        <f aca="false">VLOOKUP(E100,Mercados!$A$2:$D$7,2,FALSE())</f>
        <v>Europa</v>
      </c>
      <c r="M100" s="6" t="n">
        <f aca="false">VLOOKUP(E100,Mercados!$A$2:$D$7,3,FALSE())</f>
        <v>0.1</v>
      </c>
      <c r="N100" s="1" t="str">
        <f aca="false">VLOOKUP(E100,Mercados!$A$2:$D$7,4,FALSE())</f>
        <v>Potencial</v>
      </c>
      <c r="O100" s="5" t="n">
        <f aca="false">F100*G100</f>
        <v>7875</v>
      </c>
      <c r="P100" s="5" t="n">
        <f aca="false">F100*H100</f>
        <v>5481</v>
      </c>
      <c r="Q100" s="5" t="n">
        <f aca="false">O100-P100</f>
        <v>2394</v>
      </c>
      <c r="R100" s="6" t="n">
        <f aca="false">Q100/O100</f>
        <v>0.304</v>
      </c>
      <c r="S100" s="1" t="str">
        <f aca="false">IF(R100&gt;=30%,"Alta",IF(R100&gt;=15%,"Media","Baja"))</f>
        <v>Alta</v>
      </c>
      <c r="T100" s="1" t="str">
        <f aca="false">IF(O100&gt;=10000,"Grande",IF(O100&gt;=5000,"Mediana","Pequeña"))</f>
        <v>Mediana</v>
      </c>
      <c r="U100" s="1" t="str">
        <f aca="false">IF(AND(N100="Estratégico",R100&gt;=30%),"Alta",IF(OR(AND(N100="Estratégico",R100&lt;30%),AND(N100="Potencial",R100&gt;=30%)),"Media","Baja"))</f>
        <v>Media</v>
      </c>
    </row>
    <row r="101" customFormat="false" ht="15" hidden="false" customHeight="true" outlineLevel="0" collapsed="false">
      <c r="A101" s="3" t="s">
        <v>138</v>
      </c>
      <c r="B101" s="4" t="n">
        <v>46150</v>
      </c>
      <c r="C101" s="1" t="s">
        <v>41</v>
      </c>
      <c r="D101" s="1" t="s">
        <v>28</v>
      </c>
      <c r="E101" s="1" t="s">
        <v>43</v>
      </c>
      <c r="F101" s="1" t="n">
        <v>1170</v>
      </c>
      <c r="G101" s="1" t="n">
        <v>6.5</v>
      </c>
      <c r="H101" s="5" t="n">
        <v>4.1</v>
      </c>
      <c r="I101" s="5" t="s">
        <v>30</v>
      </c>
      <c r="J101" s="1" t="str">
        <f aca="false">VLOOKUP(D101,Productos!$A$2:$D$6,2,FALSE())</f>
        <v>Café especial</v>
      </c>
      <c r="K101" s="1" t="str">
        <f aca="false">VLOOKUP(D101,Productos!$A$2:$D$6,3,FALSE())</f>
        <v>Café</v>
      </c>
      <c r="L101" s="1" t="str">
        <f aca="false">VLOOKUP(E101,Mercados!$A$2:$D$7,2,FALSE())</f>
        <v>Norteamérica</v>
      </c>
      <c r="M101" s="6" t="n">
        <f aca="false">VLOOKUP(E101,Mercados!$A$2:$D$7,3,FALSE())</f>
        <v>0.08</v>
      </c>
      <c r="N101" s="1" t="str">
        <f aca="false">VLOOKUP(E101,Mercados!$A$2:$D$7,4,FALSE())</f>
        <v>Potencial</v>
      </c>
      <c r="O101" s="5" t="n">
        <f aca="false">F101*G101</f>
        <v>7605</v>
      </c>
      <c r="P101" s="5" t="n">
        <f aca="false">F101*H101</f>
        <v>4797</v>
      </c>
      <c r="Q101" s="5" t="n">
        <f aca="false">O101-P101</f>
        <v>2808</v>
      </c>
      <c r="R101" s="6" t="n">
        <f aca="false">Q101/O101</f>
        <v>0.369230769230769</v>
      </c>
      <c r="S101" s="1" t="str">
        <f aca="false">IF(R101&gt;=30%,"Alta",IF(R101&gt;=15%,"Media","Baja"))</f>
        <v>Alta</v>
      </c>
      <c r="T101" s="1" t="str">
        <f aca="false">IF(O101&gt;=10000,"Grande",IF(O101&gt;=5000,"Mediana","Pequeña"))</f>
        <v>Mediana</v>
      </c>
      <c r="U101" s="1" t="str">
        <f aca="false">IF(AND(N101="Estratégico",R101&gt;=30%),"Alta",IF(OR(AND(N101="Estratégico",R101&lt;30%),AND(N101="Potencial",R101&gt;=30%)),"Media","Baja"))</f>
        <v>Media</v>
      </c>
    </row>
  </sheetData>
  <autoFilter ref="A1:U101"/>
  <conditionalFormatting sqref="S2:S101">
    <cfRule type="cellIs" priority="2" operator="equal" aboveAverage="0" equalAverage="0" bottom="0" percent="0" rank="0" text="" dxfId="5">
      <formula>"Alta"</formula>
    </cfRule>
  </conditionalFormatting>
  <conditionalFormatting sqref="U2:U101">
    <cfRule type="cellIs" priority="3" operator="equal" aboveAverage="0" equalAverage="0" bottom="0" percent="0" rank="0" text="" dxfId="5">
      <formula>"Alta"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8"/>
  </cols>
  <sheetData>
    <row r="1" customFormat="false" ht="15" hidden="false" customHeight="true" outlineLevel="0" collapsed="false">
      <c r="A1" s="7" t="s">
        <v>139</v>
      </c>
      <c r="B1" s="7" t="s">
        <v>9</v>
      </c>
      <c r="C1" s="7" t="s">
        <v>10</v>
      </c>
      <c r="D1" s="7" t="s">
        <v>140</v>
      </c>
    </row>
    <row r="2" customFormat="false" ht="15" hidden="false" customHeight="true" outlineLevel="0" collapsed="false">
      <c r="A2" s="1" t="s">
        <v>28</v>
      </c>
      <c r="B2" s="1" t="s">
        <v>141</v>
      </c>
      <c r="C2" s="1" t="s">
        <v>142</v>
      </c>
      <c r="D2" s="1" t="s">
        <v>143</v>
      </c>
    </row>
    <row r="3" customFormat="false" ht="15" hidden="false" customHeight="true" outlineLevel="0" collapsed="false">
      <c r="A3" s="1" t="s">
        <v>37</v>
      </c>
      <c r="B3" s="1" t="s">
        <v>144</v>
      </c>
      <c r="C3" s="1" t="s">
        <v>145</v>
      </c>
      <c r="D3" s="1" t="s">
        <v>143</v>
      </c>
    </row>
    <row r="4" customFormat="false" ht="15" hidden="false" customHeight="true" outlineLevel="0" collapsed="false">
      <c r="A4" s="1" t="s">
        <v>23</v>
      </c>
      <c r="B4" s="1" t="s">
        <v>146</v>
      </c>
      <c r="C4" s="1" t="s">
        <v>147</v>
      </c>
      <c r="D4" s="1" t="s">
        <v>143</v>
      </c>
    </row>
    <row r="5" customFormat="false" ht="15" hidden="false" customHeight="true" outlineLevel="0" collapsed="false">
      <c r="A5" s="1" t="s">
        <v>33</v>
      </c>
      <c r="B5" s="1" t="s">
        <v>148</v>
      </c>
      <c r="C5" s="1" t="s">
        <v>149</v>
      </c>
      <c r="D5" s="1" t="s">
        <v>143</v>
      </c>
    </row>
    <row r="6" customFormat="false" ht="15" hidden="false" customHeight="true" outlineLevel="0" collapsed="false">
      <c r="A6" s="1" t="s">
        <v>42</v>
      </c>
      <c r="B6" s="1" t="s">
        <v>150</v>
      </c>
      <c r="C6" s="1" t="s">
        <v>151</v>
      </c>
      <c r="D6" s="1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8" t="s">
        <v>153</v>
      </c>
      <c r="B1" s="8" t="s">
        <v>11</v>
      </c>
      <c r="C1" s="8" t="s">
        <v>12</v>
      </c>
      <c r="D1" s="8" t="s">
        <v>154</v>
      </c>
    </row>
    <row r="2" customFormat="false" ht="15" hidden="false" customHeight="true" outlineLevel="0" collapsed="false">
      <c r="A2" s="1" t="s">
        <v>29</v>
      </c>
      <c r="B2" s="1" t="s">
        <v>155</v>
      </c>
      <c r="C2" s="6" t="n">
        <v>0.05</v>
      </c>
      <c r="D2" s="1" t="s">
        <v>156</v>
      </c>
    </row>
    <row r="3" customFormat="false" ht="15" hidden="false" customHeight="true" outlineLevel="0" collapsed="false">
      <c r="A3" s="1" t="s">
        <v>43</v>
      </c>
      <c r="B3" s="1" t="s">
        <v>155</v>
      </c>
      <c r="C3" s="6" t="n">
        <v>0.08</v>
      </c>
      <c r="D3" s="1" t="s">
        <v>157</v>
      </c>
    </row>
    <row r="4" customFormat="false" ht="15" hidden="false" customHeight="true" outlineLevel="0" collapsed="false">
      <c r="A4" s="1" t="s">
        <v>24</v>
      </c>
      <c r="B4" s="1" t="s">
        <v>158</v>
      </c>
      <c r="C4" s="6" t="n">
        <v>0.03</v>
      </c>
      <c r="D4" s="1" t="s">
        <v>156</v>
      </c>
    </row>
    <row r="5" customFormat="false" ht="15" hidden="false" customHeight="true" outlineLevel="0" collapsed="false">
      <c r="A5" s="1" t="s">
        <v>34</v>
      </c>
      <c r="B5" s="1" t="s">
        <v>158</v>
      </c>
      <c r="C5" s="6" t="n">
        <v>0.02</v>
      </c>
      <c r="D5" s="1" t="s">
        <v>156</v>
      </c>
    </row>
    <row r="6" customFormat="false" ht="15" hidden="false" customHeight="true" outlineLevel="0" collapsed="false">
      <c r="A6" s="1" t="s">
        <v>159</v>
      </c>
      <c r="B6" s="1" t="s">
        <v>158</v>
      </c>
      <c r="C6" s="6" t="n">
        <v>0.02</v>
      </c>
      <c r="D6" s="1" t="s">
        <v>157</v>
      </c>
    </row>
    <row r="7" customFormat="false" ht="15" hidden="false" customHeight="true" outlineLevel="0" collapsed="false">
      <c r="A7" s="1" t="s">
        <v>38</v>
      </c>
      <c r="B7" s="1" t="s">
        <v>160</v>
      </c>
      <c r="C7" s="6" t="n">
        <v>0.1</v>
      </c>
      <c r="D7" s="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8" min="8" style="1" width="18"/>
  </cols>
  <sheetData>
    <row r="1" customFormat="false" ht="19.5" hidden="false" customHeight="true" outlineLevel="0" collapsed="false">
      <c r="A1" s="9" t="s">
        <v>161</v>
      </c>
      <c r="B1" s="9"/>
      <c r="C1" s="9"/>
      <c r="D1" s="9"/>
      <c r="E1" s="9"/>
      <c r="F1" s="9"/>
    </row>
    <row r="3" customFormat="false" ht="15" hidden="false" customHeight="true" outlineLevel="0" collapsed="false">
      <c r="A3" s="10" t="s">
        <v>162</v>
      </c>
      <c r="B3" s="11" t="n">
        <f aca="false">COUNTA(Operaciones!A2:A101)</f>
        <v>100</v>
      </c>
      <c r="G3" s="7" t="s">
        <v>163</v>
      </c>
    </row>
    <row r="4" customFormat="false" ht="15" hidden="false" customHeight="true" outlineLevel="0" collapsed="false">
      <c r="A4" s="10" t="s">
        <v>164</v>
      </c>
      <c r="B4" s="11" t="n">
        <f aca="false">COUNTIF(Operaciones!I2:I101,"Pendiente")</f>
        <v>15</v>
      </c>
      <c r="G4" s="1" t="s">
        <v>165</v>
      </c>
      <c r="H4" s="1" t="n">
        <f aca="false">COUNTIF(Operaciones!E2:E101,"EE.UU.")</f>
        <v>20</v>
      </c>
    </row>
    <row r="5" customFormat="false" ht="15" hidden="false" customHeight="true" outlineLevel="0" collapsed="false">
      <c r="A5" s="10" t="s">
        <v>14</v>
      </c>
      <c r="B5" s="5" t="n">
        <f aca="false">SUM(Operaciones!O2:O101)</f>
        <v>658265</v>
      </c>
      <c r="G5" s="1" t="s">
        <v>166</v>
      </c>
      <c r="H5" s="1" t="n">
        <f aca="false">COUNTIF(Operaciones!I2:I101,"Pendiente")</f>
        <v>15</v>
      </c>
    </row>
    <row r="6" customFormat="false" ht="15" hidden="false" customHeight="true" outlineLevel="0" collapsed="false">
      <c r="A6" s="10" t="s">
        <v>15</v>
      </c>
      <c r="B6" s="5" t="n">
        <f aca="false">SUM(Operaciones!P2:P101)</f>
        <v>444193</v>
      </c>
      <c r="G6" s="1" t="s">
        <v>167</v>
      </c>
      <c r="H6" s="5" t="n">
        <f aca="false">SUMIF(Operaciones!E2:E101,"México",Operaciones!O2:O101)</f>
        <v>120313</v>
      </c>
    </row>
    <row r="7" customFormat="false" ht="15" hidden="false" customHeight="true" outlineLevel="0" collapsed="false">
      <c r="A7" s="10" t="s">
        <v>16</v>
      </c>
      <c r="B7" s="5" t="n">
        <f aca="false">SUM(Operaciones!Q2:Q101)</f>
        <v>214072</v>
      </c>
      <c r="G7" s="1" t="s">
        <v>168</v>
      </c>
      <c r="H7" s="1" t="n">
        <f aca="false">SUMIF(Operaciones!E2:E101,"Guatemala",Operaciones!F2:F101)</f>
        <v>17130</v>
      </c>
    </row>
    <row r="8" customFormat="false" ht="15" hidden="false" customHeight="true" outlineLevel="0" collapsed="false">
      <c r="A8" s="10" t="s">
        <v>169</v>
      </c>
      <c r="B8" s="6" t="n">
        <f aca="false">SUM(Operaciones!Q2:Q101)/SUM(Operaciones!O2:O101)</f>
        <v>0.325206413830296</v>
      </c>
      <c r="G8" s="1" t="s">
        <v>170</v>
      </c>
      <c r="H8" s="5" t="n">
        <f aca="false">SUMIFS(Operaciones!O2:O101,Operaciones!J2:J101,"Café especial",Operaciones!E2:E101,"EE.UU.")</f>
        <v>52390</v>
      </c>
    </row>
    <row r="9" customFormat="false" ht="15" hidden="false" customHeight="true" outlineLevel="0" collapsed="false">
      <c r="A9" s="10" t="s">
        <v>171</v>
      </c>
      <c r="B9" s="11" t="n">
        <f aca="false">COUNTIF(Operaciones!S2:S101,"Alta")</f>
        <v>82</v>
      </c>
      <c r="G9" s="1" t="s">
        <v>172</v>
      </c>
      <c r="H9" s="5" t="n">
        <f aca="false">SUMIFS(Operaciones!Q2:Q101,Operaciones!L2:L101,"Centroamérica",Operaciones!I2:I101,"Entregado")</f>
        <v>33348</v>
      </c>
    </row>
    <row r="10" customFormat="false" ht="15" hidden="false" customHeight="true" outlineLevel="0" collapsed="false">
      <c r="A10" s="10" t="s">
        <v>173</v>
      </c>
      <c r="B10" s="11" t="n">
        <f aca="false">COUNTIF(Operaciones!U2:U101,"Alta")</f>
        <v>48</v>
      </c>
    </row>
    <row r="13" customFormat="false" ht="15" hidden="false" customHeight="true" outlineLevel="0" collapsed="false">
      <c r="A13" s="12" t="s">
        <v>153</v>
      </c>
      <c r="B13" s="12" t="s">
        <v>162</v>
      </c>
      <c r="C13" s="12" t="s">
        <v>5</v>
      </c>
      <c r="D13" s="12" t="s">
        <v>14</v>
      </c>
      <c r="E13" s="12" t="s">
        <v>16</v>
      </c>
      <c r="F13" s="12" t="s">
        <v>17</v>
      </c>
    </row>
    <row r="14" customFormat="false" ht="15" hidden="false" customHeight="true" outlineLevel="0" collapsed="false">
      <c r="A14" s="1" t="s">
        <v>24</v>
      </c>
      <c r="B14" s="1" t="n">
        <f aca="false">COUNTIF(Operaciones!E$2:E$101,A14)</f>
        <v>20</v>
      </c>
      <c r="C14" s="1" t="n">
        <f aca="false">SUMIF(Operaciones!E$2:E$101,A14,Operaciones!F$2:F$101)</f>
        <v>17130</v>
      </c>
      <c r="D14" s="5" t="n">
        <f aca="false">SUMIF(Operaciones!E$2:E$101,A14,Operaciones!O$2:O$101)</f>
        <v>119335</v>
      </c>
      <c r="E14" s="5" t="n">
        <f aca="false">SUMIF(Operaciones!E$2:E$101,A14,Operaciones!Q$2:Q$101)</f>
        <v>38912</v>
      </c>
      <c r="F14" s="6" t="n">
        <f aca="false">E14/D14</f>
        <v>0.326073658189131</v>
      </c>
    </row>
    <row r="15" customFormat="false" ht="15" hidden="false" customHeight="true" outlineLevel="0" collapsed="false">
      <c r="A15" s="1" t="s">
        <v>29</v>
      </c>
      <c r="B15" s="1" t="n">
        <f aca="false">COUNTIF(Operaciones!E$2:E$101,A15)</f>
        <v>20</v>
      </c>
      <c r="C15" s="1" t="n">
        <f aca="false">SUMIF(Operaciones!E$2:E$101,A15,Operaciones!F$2:F$101)</f>
        <v>24560</v>
      </c>
      <c r="D15" s="5" t="n">
        <f aca="false">SUMIF(Operaciones!E$2:E$101,A15,Operaciones!O$2:O$101)</f>
        <v>168745</v>
      </c>
      <c r="E15" s="5" t="n">
        <f aca="false">SUMIF(Operaciones!E$2:E$101,A15,Operaciones!Q$2:Q$101)</f>
        <v>55601</v>
      </c>
      <c r="F15" s="6" t="n">
        <f aca="false">E15/D15</f>
        <v>0.329497170286527</v>
      </c>
    </row>
    <row r="16" customFormat="false" ht="15" hidden="false" customHeight="true" outlineLevel="0" collapsed="false">
      <c r="A16" s="1" t="s">
        <v>34</v>
      </c>
      <c r="B16" s="1" t="n">
        <f aca="false">COUNTIF(Operaciones!E$2:E$101,A16)</f>
        <v>20</v>
      </c>
      <c r="C16" s="1" t="n">
        <f aca="false">SUMIF(Operaciones!E$2:E$101,A16,Operaciones!F$2:F$101)</f>
        <v>15590</v>
      </c>
      <c r="D16" s="5" t="n">
        <f aca="false">SUMIF(Operaciones!E$2:E$101,A16,Operaciones!O$2:O$101)</f>
        <v>113544</v>
      </c>
      <c r="E16" s="5" t="n">
        <f aca="false">SUMIF(Operaciones!E$2:E$101,A16,Operaciones!Q$2:Q$101)</f>
        <v>36329</v>
      </c>
      <c r="F16" s="6" t="n">
        <f aca="false">E16/D16</f>
        <v>0.319955259635031</v>
      </c>
    </row>
    <row r="17" customFormat="false" ht="15" hidden="false" customHeight="true" outlineLevel="0" collapsed="false">
      <c r="A17" s="1" t="s">
        <v>38</v>
      </c>
      <c r="B17" s="1" t="n">
        <f aca="false">COUNTIF(Operaciones!E$2:E$101,A17)</f>
        <v>20</v>
      </c>
      <c r="C17" s="1" t="n">
        <f aca="false">SUMIF(Operaciones!E$2:E$101,A17,Operaciones!F$2:F$101)</f>
        <v>18900</v>
      </c>
      <c r="D17" s="5" t="n">
        <f aca="false">SUMIF(Operaciones!E$2:E$101,A17,Operaciones!O$2:O$101)</f>
        <v>136328</v>
      </c>
      <c r="E17" s="5" t="n">
        <f aca="false">SUMIF(Operaciones!E$2:E$101,A17,Operaciones!Q$2:Q$101)</f>
        <v>43648</v>
      </c>
      <c r="F17" s="6" t="n">
        <f aca="false">E17/D17</f>
        <v>0.320169004166422</v>
      </c>
    </row>
    <row r="18" customFormat="false" ht="15" hidden="false" customHeight="true" outlineLevel="0" collapsed="false">
      <c r="A18" s="1" t="s">
        <v>43</v>
      </c>
      <c r="B18" s="1" t="n">
        <f aca="false">COUNTIF(Operaciones!E$2:E$101,A18)</f>
        <v>20</v>
      </c>
      <c r="C18" s="1" t="n">
        <f aca="false">SUMIF(Operaciones!E$2:E$101,A18,Operaciones!F$2:F$101)</f>
        <v>15870</v>
      </c>
      <c r="D18" s="5" t="n">
        <f aca="false">SUMIF(Operaciones!E$2:E$101,A18,Operaciones!O$2:O$101)</f>
        <v>120313</v>
      </c>
      <c r="E18" s="5" t="n">
        <f aca="false">SUMIF(Operaciones!E$2:E$101,A18,Operaciones!Q$2:Q$101)</f>
        <v>39582</v>
      </c>
      <c r="F18" s="6" t="n">
        <f aca="false">E18/D18</f>
        <v>0.328991879514267</v>
      </c>
    </row>
    <row r="21" customFormat="false" ht="15" hidden="false" customHeight="true" outlineLevel="0" collapsed="false">
      <c r="A21" s="13" t="s">
        <v>9</v>
      </c>
      <c r="B21" s="13" t="s">
        <v>5</v>
      </c>
      <c r="C21" s="13" t="s">
        <v>14</v>
      </c>
      <c r="D21" s="13" t="s">
        <v>16</v>
      </c>
      <c r="E21" s="13" t="s">
        <v>17</v>
      </c>
    </row>
    <row r="22" customFormat="false" ht="15" hidden="false" customHeight="true" outlineLevel="0" collapsed="false">
      <c r="A22" s="1" t="s">
        <v>141</v>
      </c>
      <c r="B22" s="1" t="n">
        <f aca="false">SUMIF(Operaciones!J$2:J$101,A22,Operaciones!F$2:F$101)</f>
        <v>26180</v>
      </c>
      <c r="C22" s="5" t="n">
        <f aca="false">SUMIF(Operaciones!J$2:J$101,A22,Operaciones!O$2:O$101)</f>
        <v>170170</v>
      </c>
      <c r="D22" s="5" t="n">
        <f aca="false">SUMIF(Operaciones!J$2:J$101,A22,Operaciones!Q$2:Q$101)</f>
        <v>62832</v>
      </c>
      <c r="E22" s="6" t="n">
        <f aca="false">D22/C22</f>
        <v>0.369230769230769</v>
      </c>
    </row>
    <row r="23" customFormat="false" ht="15" hidden="false" customHeight="true" outlineLevel="0" collapsed="false">
      <c r="A23" s="1" t="s">
        <v>146</v>
      </c>
      <c r="B23" s="1" t="n">
        <f aca="false">SUMIF(Operaciones!J$2:J$101,A23,Operaciones!F$2:F$101)</f>
        <v>24180</v>
      </c>
      <c r="C23" s="5" t="n">
        <f aca="false">SUMIF(Operaciones!J$2:J$101,A23,Operaciones!O$2:O$101)</f>
        <v>116064</v>
      </c>
      <c r="D23" s="5" t="n">
        <f aca="false">SUMIF(Operaciones!J$2:J$101,A23,Operaciones!Q$2:Q$101)</f>
        <v>38688</v>
      </c>
      <c r="E23" s="6" t="n">
        <f aca="false">D23/C23</f>
        <v>0.333333333333333</v>
      </c>
    </row>
    <row r="24" customFormat="false" ht="15" hidden="false" customHeight="true" outlineLevel="0" collapsed="false">
      <c r="A24" s="1" t="s">
        <v>150</v>
      </c>
      <c r="B24" s="1" t="n">
        <f aca="false">SUMIF(Operaciones!J$2:J$101,A24,Operaciones!F$2:F$101)</f>
        <v>11110</v>
      </c>
      <c r="C24" s="5" t="n">
        <f aca="false">SUMIF(Operaciones!J$2:J$101,A24,Operaciones!O$2:O$101)</f>
        <v>138875</v>
      </c>
      <c r="D24" s="5" t="n">
        <f aca="false">SUMIF(Operaciones!J$2:J$101,A24,Operaciones!Q$2:Q$101)</f>
        <v>42218</v>
      </c>
      <c r="E24" s="6" t="n">
        <f aca="false">D24/C24</f>
        <v>0.304</v>
      </c>
    </row>
    <row r="25" customFormat="false" ht="15" hidden="false" customHeight="true" outlineLevel="0" collapsed="false">
      <c r="A25" s="1" t="s">
        <v>174</v>
      </c>
      <c r="B25" s="1" t="n">
        <f aca="false">SUMIF(Operaciones!J$2:J$101,A25,Operaciones!F$2:F$101)</f>
        <v>0</v>
      </c>
      <c r="C25" s="5" t="n">
        <f aca="false">SUMIF(Operaciones!J$2:J$101,A25,Operaciones!O$2:O$101)</f>
        <v>0</v>
      </c>
      <c r="D25" s="5" t="n">
        <f aca="false">SUMIF(Operaciones!J$2:J$101,A25,Operaciones!Q$2:Q$101)</f>
        <v>0</v>
      </c>
      <c r="E25" s="6" t="e">
        <f aca="false">D25/C25</f>
        <v>#DIV/0!</v>
      </c>
    </row>
    <row r="26" customFormat="false" ht="15" hidden="false" customHeight="true" outlineLevel="0" collapsed="false">
      <c r="A26" s="1" t="s">
        <v>175</v>
      </c>
      <c r="B26" s="1" t="n">
        <f aca="false">SUMIF(Operaciones!J$2:J$101,A26,Operaciones!F$2:F$101)</f>
        <v>0</v>
      </c>
      <c r="C26" s="5" t="n">
        <f aca="false">SUMIF(Operaciones!J$2:J$101,A26,Operaciones!O$2:O$101)</f>
        <v>0</v>
      </c>
      <c r="D26" s="5" t="n">
        <f aca="false">SUMIF(Operaciones!J$2:J$101,A26,Operaciones!Q$2:Q$101)</f>
        <v>0</v>
      </c>
      <c r="E26" s="6" t="e">
        <f aca="false">D26/C26</f>
        <v>#DIV/0!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9" t="s">
        <v>176</v>
      </c>
      <c r="B1" s="9"/>
      <c r="C1" s="9"/>
      <c r="D1" s="9"/>
      <c r="E1" s="9"/>
      <c r="F1" s="9"/>
    </row>
    <row r="3" customFormat="false" ht="15" hidden="false" customHeight="true" outlineLevel="0" collapsed="false">
      <c r="A3" s="1" t="s">
        <v>153</v>
      </c>
      <c r="B3" s="1" t="s">
        <v>14</v>
      </c>
    </row>
    <row r="4" customFormat="false" ht="15" hidden="false" customHeight="true" outlineLevel="0" collapsed="false">
      <c r="A4" s="1" t="s">
        <v>24</v>
      </c>
      <c r="B4" s="5" t="n">
        <f aca="false">Análisis!D14</f>
        <v>119335</v>
      </c>
    </row>
    <row r="5" customFormat="false" ht="15" hidden="false" customHeight="true" outlineLevel="0" collapsed="false">
      <c r="A5" s="1" t="s">
        <v>29</v>
      </c>
      <c r="B5" s="5" t="n">
        <f aca="false">Análisis!D15</f>
        <v>168745</v>
      </c>
    </row>
    <row r="6" customFormat="false" ht="15" hidden="false" customHeight="true" outlineLevel="0" collapsed="false">
      <c r="A6" s="1" t="s">
        <v>34</v>
      </c>
      <c r="B6" s="5" t="n">
        <f aca="false">Análisis!D16</f>
        <v>113544</v>
      </c>
    </row>
    <row r="7" customFormat="false" ht="15" hidden="false" customHeight="true" outlineLevel="0" collapsed="false">
      <c r="A7" s="1" t="s">
        <v>38</v>
      </c>
      <c r="B7" s="5" t="n">
        <f aca="false">Análisis!D17</f>
        <v>136328</v>
      </c>
    </row>
    <row r="8" customFormat="false" ht="15" hidden="false" customHeight="true" outlineLevel="0" collapsed="false">
      <c r="A8" s="1" t="s">
        <v>43</v>
      </c>
      <c r="B8" s="5" t="n">
        <f aca="false">Análisis!D18</f>
        <v>120313</v>
      </c>
    </row>
    <row r="11" customFormat="false" ht="15" hidden="false" customHeight="true" outlineLevel="0" collapsed="false">
      <c r="A11" s="1" t="s">
        <v>9</v>
      </c>
      <c r="B11" s="1" t="s">
        <v>16</v>
      </c>
    </row>
    <row r="12" customFormat="false" ht="15" hidden="false" customHeight="true" outlineLevel="0" collapsed="false">
      <c r="A12" s="1" t="s">
        <v>141</v>
      </c>
      <c r="B12" s="5" t="n">
        <f aca="false">Análisis!D22</f>
        <v>62832</v>
      </c>
    </row>
    <row r="13" customFormat="false" ht="15" hidden="false" customHeight="true" outlineLevel="0" collapsed="false">
      <c r="A13" s="1" t="s">
        <v>146</v>
      </c>
      <c r="B13" s="5" t="n">
        <f aca="false">Análisis!D23</f>
        <v>38688</v>
      </c>
    </row>
    <row r="14" customFormat="false" ht="15" hidden="false" customHeight="true" outlineLevel="0" collapsed="false">
      <c r="A14" s="1" t="s">
        <v>150</v>
      </c>
      <c r="B14" s="5" t="n">
        <f aca="false">Análisis!D24</f>
        <v>42218</v>
      </c>
    </row>
    <row r="15" customFormat="false" ht="15" hidden="false" customHeight="true" outlineLevel="0" collapsed="false">
      <c r="A15" s="1" t="s">
        <v>174</v>
      </c>
      <c r="B15" s="5" t="n">
        <f aca="false">Análisis!D25</f>
        <v>0</v>
      </c>
    </row>
    <row r="16" customFormat="false" ht="15" hidden="false" customHeight="true" outlineLevel="0" collapsed="false">
      <c r="A16" s="1" t="s">
        <v>175</v>
      </c>
      <c r="B16" s="5" t="n">
        <f aca="false">Análisis!D26</f>
        <v>0</v>
      </c>
    </row>
    <row r="20" customFormat="false" ht="15" hidden="false" customHeight="true" outlineLevel="0" collapsed="false">
      <c r="A20" s="1" t="s">
        <v>11</v>
      </c>
      <c r="B20" s="1" t="s">
        <v>14</v>
      </c>
    </row>
    <row r="21" customFormat="false" ht="15" hidden="false" customHeight="true" outlineLevel="0" collapsed="false">
      <c r="A21" s="1" t="s">
        <v>158</v>
      </c>
      <c r="B21" s="5" t="n">
        <f aca="false">SUMIF(Operaciones!L$2:L$101,A21,Operaciones!O$2:O$101)</f>
        <v>232879</v>
      </c>
    </row>
    <row r="22" customFormat="false" ht="15" hidden="false" customHeight="true" outlineLevel="0" collapsed="false">
      <c r="A22" s="1" t="s">
        <v>155</v>
      </c>
      <c r="B22" s="5" t="n">
        <f aca="false">SUMIF(Operaciones!L$2:L$101,A22,Operaciones!O$2:O$101)</f>
        <v>289058</v>
      </c>
    </row>
    <row r="23" customFormat="false" ht="15" hidden="false" customHeight="true" outlineLevel="0" collapsed="false">
      <c r="A23" s="1" t="s">
        <v>160</v>
      </c>
      <c r="B23" s="5" t="n">
        <f aca="false">SUMIF(Operaciones!L$2:L$101,A23,Operaciones!O$2:O$101)</f>
        <v>136328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2026-09-25T22:42:53Z</dcterms:created>
  <dc:creator>openpyxl</dc:creator>
  <dc:description/>
  <dc:language>en-US</dc:language>
  <cp:lastModifiedBy/>
  <dcterms:modified xsi:type="dcterms:W3CDTF">2026-09-25T22:43:11Z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