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atos_Importación" sheetId="1" state="visible" r:id="rId1"/>
    <sheet xmlns:r="http://schemas.openxmlformats.org/officeDocument/2006/relationships" name="Resultad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6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5" fontId="0" fillId="0" borderId="1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8" bestFit="1" customWidth="1" style="5" min="1" max="1"/>
    <col width="14" bestFit="1" customWidth="1" style="5" min="2" max="2"/>
    <col width="28" bestFit="1" customWidth="1" min="3" max="3"/>
    <col width="18" bestFit="1" customWidth="1" min="4" max="4"/>
    <col width="18" bestFit="1" customWidth="1" style="5" min="5" max="5"/>
    <col width="14" bestFit="1" customWidth="1" min="6" max="6"/>
    <col width="24" bestFit="1" customWidth="1" min="7" max="7"/>
    <col width="24" bestFit="1" customWidth="1" min="8" max="8"/>
    <col width="22" customWidth="1" min="9" max="9"/>
  </cols>
  <sheetData>
    <row r="1">
      <c r="A1" s="6" t="inlineStr">
        <is>
          <t>No.</t>
        </is>
      </c>
      <c r="B1" s="6" t="inlineStr">
        <is>
          <t>Código</t>
        </is>
      </c>
      <c r="C1" s="6" t="inlineStr">
        <is>
          <t>Producto</t>
        </is>
      </c>
      <c r="D1" s="6" t="inlineStr">
        <is>
          <t>Categoría</t>
        </is>
      </c>
      <c r="E1" s="6" t="inlineStr">
        <is>
          <t>País Origen</t>
        </is>
      </c>
      <c r="F1" s="6" t="inlineStr">
        <is>
          <t>Cantidad</t>
        </is>
      </c>
      <c r="G1" s="6" t="inlineStr">
        <is>
          <t>Precio Unitario (USD)</t>
        </is>
      </c>
      <c r="H1" s="6" t="inlineStr">
        <is>
          <t>Importe Total (USD)</t>
        </is>
      </c>
      <c r="I1" s="6" t="inlineStr">
        <is>
          <t>Clasificación</t>
        </is>
      </c>
    </row>
    <row r="2">
      <c r="A2" s="4" t="n">
        <v>1</v>
      </c>
      <c r="B2" s="4" t="inlineStr">
        <is>
          <t>MEX-001</t>
        </is>
      </c>
      <c r="C2" s="2" t="inlineStr">
        <is>
          <t>Galletas integrales</t>
        </is>
      </c>
      <c r="D2" s="2" t="inlineStr">
        <is>
          <t>Alimentos</t>
        </is>
      </c>
      <c r="E2" s="4" t="inlineStr">
        <is>
          <t>México</t>
        </is>
      </c>
      <c r="F2" s="2" t="n">
        <v>120</v>
      </c>
      <c r="G2" s="7" t="n">
        <v>4.5</v>
      </c>
      <c r="H2" s="7">
        <f>F2*G2</f>
        <v/>
      </c>
      <c r="I2" s="2">
        <f>IF(H2&gt;1000,"Importe Alto","Importe Normal")</f>
        <v/>
      </c>
    </row>
    <row r="3">
      <c r="A3" s="4" t="n">
        <v>2</v>
      </c>
      <c r="B3" s="4" t="inlineStr">
        <is>
          <t>MEX-002</t>
        </is>
      </c>
      <c r="C3" s="2" t="inlineStr">
        <is>
          <t>Café soluble</t>
        </is>
      </c>
      <c r="D3" s="2" t="inlineStr">
        <is>
          <t>Alimentos</t>
        </is>
      </c>
      <c r="E3" s="4" t="inlineStr">
        <is>
          <t>México</t>
        </is>
      </c>
      <c r="F3" s="2" t="n">
        <v>85</v>
      </c>
      <c r="G3" s="7" t="n">
        <v>8.75</v>
      </c>
      <c r="H3" s="7">
        <f>F3*G3</f>
        <v/>
      </c>
      <c r="I3" s="2">
        <f>IF(H3&gt;1000,"Importe Alto","Importe Normal")</f>
        <v/>
      </c>
    </row>
    <row r="4">
      <c r="A4" s="4" t="n">
        <v>3</v>
      </c>
      <c r="B4" s="4" t="inlineStr">
        <is>
          <t>MEX-003</t>
        </is>
      </c>
      <c r="C4" s="2" t="inlineStr">
        <is>
          <t>Salsa de tomate</t>
        </is>
      </c>
      <c r="D4" s="2" t="inlineStr">
        <is>
          <t>Alimentos</t>
        </is>
      </c>
      <c r="E4" s="4" t="inlineStr">
        <is>
          <t>México</t>
        </is>
      </c>
      <c r="F4" s="2" t="n">
        <v>150</v>
      </c>
      <c r="G4" s="7" t="n">
        <v>3.2</v>
      </c>
      <c r="H4" s="7">
        <f>F4*G4</f>
        <v/>
      </c>
      <c r="I4" s="2">
        <f>IF(H4&gt;1000,"Importe Alto","Importe Normal")</f>
        <v/>
      </c>
    </row>
    <row r="5">
      <c r="A5" s="4" t="n">
        <v>4</v>
      </c>
      <c r="B5" s="4" t="inlineStr">
        <is>
          <t>MEX-004</t>
        </is>
      </c>
      <c r="C5" s="2" t="inlineStr">
        <is>
          <t>Atún enlatado</t>
        </is>
      </c>
      <c r="D5" s="2" t="inlineStr">
        <is>
          <t>Alimentos</t>
        </is>
      </c>
      <c r="E5" s="4" t="inlineStr">
        <is>
          <t>México</t>
        </is>
      </c>
      <c r="F5" s="2" t="n">
        <v>200</v>
      </c>
      <c r="G5" s="7" t="n">
        <v>2.85</v>
      </c>
      <c r="H5" s="7">
        <f>F5*G5</f>
        <v/>
      </c>
      <c r="I5" s="2">
        <f>IF(H5&gt;1000,"Importe Alto","Importe Normal")</f>
        <v/>
      </c>
    </row>
    <row r="6">
      <c r="A6" s="4" t="n">
        <v>5</v>
      </c>
      <c r="B6" s="4" t="inlineStr">
        <is>
          <t>MEX-005</t>
        </is>
      </c>
      <c r="C6" s="2" t="inlineStr">
        <is>
          <t>Aceite vegetal</t>
        </is>
      </c>
      <c r="D6" s="2" t="inlineStr">
        <is>
          <t>Alimentos</t>
        </is>
      </c>
      <c r="E6" s="4" t="inlineStr">
        <is>
          <t>México</t>
        </is>
      </c>
      <c r="F6" s="2" t="n">
        <v>180</v>
      </c>
      <c r="G6" s="7" t="n">
        <v>5.4</v>
      </c>
      <c r="H6" s="7">
        <f>F6*G6</f>
        <v/>
      </c>
      <c r="I6" s="2">
        <f>IF(H6&gt;1000,"Importe Alto","Importe Normal")</f>
        <v/>
      </c>
    </row>
    <row r="7">
      <c r="A7" s="4" t="n">
        <v>6</v>
      </c>
      <c r="B7" s="4" t="inlineStr">
        <is>
          <t>MEX-006</t>
        </is>
      </c>
      <c r="C7" s="2" t="inlineStr">
        <is>
          <t>Cereal de maíz</t>
        </is>
      </c>
      <c r="D7" s="2" t="inlineStr">
        <is>
          <t>Alimentos</t>
        </is>
      </c>
      <c r="E7" s="4" t="inlineStr">
        <is>
          <t>México</t>
        </is>
      </c>
      <c r="F7" s="2" t="n">
        <v>95</v>
      </c>
      <c r="G7" s="7" t="n">
        <v>6.8</v>
      </c>
      <c r="H7" s="7">
        <f>F7*G7</f>
        <v/>
      </c>
      <c r="I7" s="2">
        <f>IF(H7&gt;1000,"Importe Alto","Importe Normal")</f>
        <v/>
      </c>
    </row>
    <row r="8">
      <c r="A8" s="4" t="n">
        <v>7</v>
      </c>
      <c r="B8" s="4" t="inlineStr">
        <is>
          <t>MEX-007</t>
        </is>
      </c>
      <c r="C8" s="2" t="inlineStr">
        <is>
          <t>Leche en polvo</t>
        </is>
      </c>
      <c r="D8" s="2" t="inlineStr">
        <is>
          <t>Alimentos</t>
        </is>
      </c>
      <c r="E8" s="4" t="inlineStr">
        <is>
          <t>México</t>
        </is>
      </c>
      <c r="F8" s="2" t="n">
        <v>110</v>
      </c>
      <c r="G8" s="7" t="n">
        <v>9.5</v>
      </c>
      <c r="H8" s="7">
        <f>F8*G8</f>
        <v/>
      </c>
      <c r="I8" s="2">
        <f>IF(H8&gt;1000,"Importe Alto","Importe Normal")</f>
        <v/>
      </c>
    </row>
    <row r="9">
      <c r="A9" s="4" t="n">
        <v>8</v>
      </c>
      <c r="B9" s="4" t="inlineStr">
        <is>
          <t>MEX-008</t>
        </is>
      </c>
      <c r="C9" s="2" t="inlineStr">
        <is>
          <t>Frijoles enlatados</t>
        </is>
      </c>
      <c r="D9" s="2" t="inlineStr">
        <is>
          <t>Alimentos</t>
        </is>
      </c>
      <c r="E9" s="4" t="inlineStr">
        <is>
          <t>México</t>
        </is>
      </c>
      <c r="F9" s="2" t="n">
        <v>160</v>
      </c>
      <c r="G9" s="7" t="n">
        <v>3.75</v>
      </c>
      <c r="H9" s="7">
        <f>F9*G9</f>
        <v/>
      </c>
      <c r="I9" s="2">
        <f>IF(H9&gt;1000,"Importe Alto","Importe Normal")</f>
        <v/>
      </c>
    </row>
    <row r="10">
      <c r="A10" s="4" t="n">
        <v>9</v>
      </c>
      <c r="B10" s="4" t="inlineStr">
        <is>
          <t>MEX-009</t>
        </is>
      </c>
      <c r="C10" s="2" t="inlineStr">
        <is>
          <t>Mayonesa</t>
        </is>
      </c>
      <c r="D10" s="2" t="inlineStr">
        <is>
          <t>Alimentos</t>
        </is>
      </c>
      <c r="E10" s="4" t="inlineStr">
        <is>
          <t>México</t>
        </is>
      </c>
      <c r="F10" s="2" t="n">
        <v>130</v>
      </c>
      <c r="G10" s="7" t="n">
        <v>4.25</v>
      </c>
      <c r="H10" s="7">
        <f>F10*G10</f>
        <v/>
      </c>
      <c r="I10" s="2">
        <f>IF(H10&gt;1000,"Importe Alto","Importe Normal")</f>
        <v/>
      </c>
    </row>
    <row r="11">
      <c r="A11" s="4" t="n">
        <v>10</v>
      </c>
      <c r="B11" s="4" t="inlineStr">
        <is>
          <t>MEX-010</t>
        </is>
      </c>
      <c r="C11" s="2" t="inlineStr">
        <is>
          <t>Mermelada de fresa</t>
        </is>
      </c>
      <c r="D11" s="2" t="inlineStr">
        <is>
          <t>Alimentos</t>
        </is>
      </c>
      <c r="E11" s="4" t="inlineStr">
        <is>
          <t>México</t>
        </is>
      </c>
      <c r="F11" s="2" t="n">
        <v>90</v>
      </c>
      <c r="G11" s="7" t="n">
        <v>5.6</v>
      </c>
      <c r="H11" s="7">
        <f>F11*G11</f>
        <v/>
      </c>
      <c r="I11" s="2">
        <f>IF(H11&gt;1000,"Importe Alto","Importe Normal")</f>
        <v/>
      </c>
    </row>
    <row r="12">
      <c r="A12" s="4" t="n">
        <v>11</v>
      </c>
      <c r="B12" s="4" t="inlineStr">
        <is>
          <t>MEX-011</t>
        </is>
      </c>
      <c r="C12" s="2" t="inlineStr">
        <is>
          <t>Chocolate en polvo</t>
        </is>
      </c>
      <c r="D12" s="2" t="inlineStr">
        <is>
          <t>Alimentos</t>
        </is>
      </c>
      <c r="E12" s="4" t="inlineStr">
        <is>
          <t>México</t>
        </is>
      </c>
      <c r="F12" s="2" t="n">
        <v>75</v>
      </c>
      <c r="G12" s="7" t="n">
        <v>7.25</v>
      </c>
      <c r="H12" s="7">
        <f>F12*G12</f>
        <v/>
      </c>
      <c r="I12" s="2">
        <f>IF(H12&gt;1000,"Importe Alto","Importe Normal")</f>
        <v/>
      </c>
    </row>
    <row r="13">
      <c r="A13" s="4" t="n">
        <v>12</v>
      </c>
      <c r="B13" s="4" t="inlineStr">
        <is>
          <t>MEX-012</t>
        </is>
      </c>
      <c r="C13" s="2" t="inlineStr">
        <is>
          <t>Harina de trigo</t>
        </is>
      </c>
      <c r="D13" s="2" t="inlineStr">
        <is>
          <t>Alimentos</t>
        </is>
      </c>
      <c r="E13" s="4" t="inlineStr">
        <is>
          <t>México</t>
        </is>
      </c>
      <c r="F13" s="2" t="n">
        <v>220</v>
      </c>
      <c r="G13" s="7" t="n">
        <v>2.9</v>
      </c>
      <c r="H13" s="7">
        <f>F13*G13</f>
        <v/>
      </c>
      <c r="I13" s="2">
        <f>IF(H13&gt;1000,"Importe Alto","Importe Normal")</f>
        <v/>
      </c>
    </row>
    <row r="14">
      <c r="A14" s="4" t="n">
        <v>13</v>
      </c>
      <c r="B14" s="4" t="inlineStr">
        <is>
          <t>MEX-013</t>
        </is>
      </c>
      <c r="C14" s="2" t="inlineStr">
        <is>
          <t>Pasta alimenticia</t>
        </is>
      </c>
      <c r="D14" s="2" t="inlineStr">
        <is>
          <t>Alimentos</t>
        </is>
      </c>
      <c r="E14" s="4" t="inlineStr">
        <is>
          <t>México</t>
        </is>
      </c>
      <c r="F14" s="2" t="n">
        <v>250</v>
      </c>
      <c r="G14" s="7" t="n">
        <v>2.4</v>
      </c>
      <c r="H14" s="7">
        <f>F14*G14</f>
        <v/>
      </c>
      <c r="I14" s="2">
        <f>IF(H14&gt;1000,"Importe Alto","Importe Normal")</f>
        <v/>
      </c>
    </row>
    <row r="15">
      <c r="A15" s="4" t="n">
        <v>14</v>
      </c>
      <c r="B15" s="4" t="inlineStr">
        <is>
          <t>MEX-014</t>
        </is>
      </c>
      <c r="C15" s="2" t="inlineStr">
        <is>
          <t>Galletas saladas</t>
        </is>
      </c>
      <c r="D15" s="2" t="inlineStr">
        <is>
          <t>Alimentos</t>
        </is>
      </c>
      <c r="E15" s="4" t="inlineStr">
        <is>
          <t>México</t>
        </is>
      </c>
      <c r="F15" s="2" t="n">
        <v>140</v>
      </c>
      <c r="G15" s="7" t="n">
        <v>3.85</v>
      </c>
      <c r="H15" s="7">
        <f>F15*G15</f>
        <v/>
      </c>
      <c r="I15" s="2">
        <f>IF(H15&gt;1000,"Importe Alto","Importe Normal")</f>
        <v/>
      </c>
    </row>
    <row r="16">
      <c r="A16" s="4" t="n">
        <v>15</v>
      </c>
      <c r="B16" s="4" t="inlineStr">
        <is>
          <t>MEX-015</t>
        </is>
      </c>
      <c r="C16" s="2" t="inlineStr">
        <is>
          <t>Salsa picante</t>
        </is>
      </c>
      <c r="D16" s="2" t="inlineStr">
        <is>
          <t>Alimentos</t>
        </is>
      </c>
      <c r="E16" s="4" t="inlineStr">
        <is>
          <t>México</t>
        </is>
      </c>
      <c r="F16" s="2" t="n">
        <v>100</v>
      </c>
      <c r="G16" s="7" t="n">
        <v>4.9</v>
      </c>
      <c r="H16" s="7">
        <f>F16*G16</f>
        <v/>
      </c>
      <c r="I16" s="2">
        <f>IF(H16&gt;1000,"Importe Alto","Importe Normal")</f>
        <v/>
      </c>
    </row>
    <row r="17">
      <c r="A17" s="4" t="n">
        <v>16</v>
      </c>
      <c r="B17" s="4" t="inlineStr">
        <is>
          <t>MEX-016</t>
        </is>
      </c>
      <c r="C17" s="2" t="inlineStr">
        <is>
          <t>Bebida energética</t>
        </is>
      </c>
      <c r="D17" s="2" t="inlineStr">
        <is>
          <t>Bebidas</t>
        </is>
      </c>
      <c r="E17" s="4" t="inlineStr">
        <is>
          <t>México</t>
        </is>
      </c>
      <c r="F17" s="2" t="n">
        <v>180</v>
      </c>
      <c r="G17" s="7" t="n">
        <v>3.6</v>
      </c>
      <c r="H17" s="7">
        <f>F17*G17</f>
        <v/>
      </c>
      <c r="I17" s="2">
        <f>IF(H17&gt;1000,"Importe Alto","Importe Normal")</f>
        <v/>
      </c>
    </row>
    <row r="18">
      <c r="A18" s="4" t="n">
        <v>17</v>
      </c>
      <c r="B18" s="4" t="inlineStr">
        <is>
          <t>MEX-017</t>
        </is>
      </c>
      <c r="C18" s="2" t="inlineStr">
        <is>
          <t>Jugo de naranja</t>
        </is>
      </c>
      <c r="D18" s="2" t="inlineStr">
        <is>
          <t>Bebidas</t>
        </is>
      </c>
      <c r="E18" s="4" t="inlineStr">
        <is>
          <t>México</t>
        </is>
      </c>
      <c r="F18" s="2" t="n">
        <v>160</v>
      </c>
      <c r="G18" s="7" t="n">
        <v>3.25</v>
      </c>
      <c r="H18" s="7">
        <f>F18*G18</f>
        <v/>
      </c>
      <c r="I18" s="2">
        <f>IF(H18&gt;1000,"Importe Alto","Importe Normal")</f>
        <v/>
      </c>
    </row>
    <row r="19">
      <c r="A19" s="4" t="n">
        <v>18</v>
      </c>
      <c r="B19" s="4" t="inlineStr">
        <is>
          <t>MEX-018</t>
        </is>
      </c>
      <c r="C19" s="2" t="inlineStr">
        <is>
          <t>Agua embotellada</t>
        </is>
      </c>
      <c r="D19" s="2" t="inlineStr">
        <is>
          <t>Bebidas</t>
        </is>
      </c>
      <c r="E19" s="4" t="inlineStr">
        <is>
          <t>México</t>
        </is>
      </c>
      <c r="F19" s="2" t="n">
        <v>300</v>
      </c>
      <c r="G19" s="7" t="n">
        <v>1.8</v>
      </c>
      <c r="H19" s="7">
        <f>F19*G19</f>
        <v/>
      </c>
      <c r="I19" s="2">
        <f>IF(H19&gt;1000,"Importe Alto","Importe Normal")</f>
        <v/>
      </c>
    </row>
    <row r="20">
      <c r="A20" s="4" t="n">
        <v>19</v>
      </c>
      <c r="B20" s="4" t="inlineStr">
        <is>
          <t>MEX-019</t>
        </is>
      </c>
      <c r="C20" s="2" t="inlineStr">
        <is>
          <t>Té instantáneo</t>
        </is>
      </c>
      <c r="D20" s="2" t="inlineStr">
        <is>
          <t>Bebidas</t>
        </is>
      </c>
      <c r="E20" s="4" t="inlineStr">
        <is>
          <t>México</t>
        </is>
      </c>
      <c r="F20" s="2" t="n">
        <v>80</v>
      </c>
      <c r="G20" s="7" t="n">
        <v>5.75</v>
      </c>
      <c r="H20" s="7">
        <f>F20*G20</f>
        <v/>
      </c>
      <c r="I20" s="2">
        <f>IF(H20&gt;1000,"Importe Alto","Importe Normal")</f>
        <v/>
      </c>
    </row>
    <row r="21">
      <c r="A21" s="4" t="n">
        <v>20</v>
      </c>
      <c r="B21" s="4" t="inlineStr">
        <is>
          <t>MEX-020</t>
        </is>
      </c>
      <c r="C21" s="2" t="inlineStr">
        <is>
          <t>Bebida de frutas</t>
        </is>
      </c>
      <c r="D21" s="2" t="inlineStr">
        <is>
          <t>Bebidas</t>
        </is>
      </c>
      <c r="E21" s="4" t="inlineStr">
        <is>
          <t>México</t>
        </is>
      </c>
      <c r="F21" s="2" t="n">
        <v>125</v>
      </c>
      <c r="G21" s="7" t="n">
        <v>3.95</v>
      </c>
      <c r="H21" s="7">
        <f>F21*G21</f>
        <v/>
      </c>
      <c r="I21" s="2">
        <f>IF(H21&gt;1000,"Importe Alto","Importe Normal")</f>
        <v/>
      </c>
    </row>
    <row r="22">
      <c r="A22" s="4" t="n">
        <v>21</v>
      </c>
      <c r="B22" s="4" t="inlineStr">
        <is>
          <t>MEX-021</t>
        </is>
      </c>
      <c r="C22" s="2" t="inlineStr">
        <is>
          <t>Detergente líquido</t>
        </is>
      </c>
      <c r="D22" s="2" t="inlineStr">
        <is>
          <t>Limpieza</t>
        </is>
      </c>
      <c r="E22" s="4" t="inlineStr">
        <is>
          <t>México</t>
        </is>
      </c>
      <c r="F22" s="2" t="n">
        <v>90</v>
      </c>
      <c r="G22" s="7" t="n">
        <v>8.5</v>
      </c>
      <c r="H22" s="7">
        <f>F22*G22</f>
        <v/>
      </c>
      <c r="I22" s="2">
        <f>IF(H22&gt;1000,"Importe Alto","Importe Normal")</f>
        <v/>
      </c>
    </row>
    <row r="23">
      <c r="A23" s="4" t="n">
        <v>22</v>
      </c>
      <c r="B23" s="4" t="inlineStr">
        <is>
          <t>MEX-022</t>
        </is>
      </c>
      <c r="C23" s="2" t="inlineStr">
        <is>
          <t>Jabón para ropa</t>
        </is>
      </c>
      <c r="D23" s="2" t="inlineStr">
        <is>
          <t>Limpieza</t>
        </is>
      </c>
      <c r="E23" s="4" t="inlineStr">
        <is>
          <t>México</t>
        </is>
      </c>
      <c r="F23" s="2" t="n">
        <v>150</v>
      </c>
      <c r="G23" s="7" t="n">
        <v>4.8</v>
      </c>
      <c r="H23" s="7">
        <f>F23*G23</f>
        <v/>
      </c>
      <c r="I23" s="2">
        <f>IF(H23&gt;1000,"Importe Alto","Importe Normal")</f>
        <v/>
      </c>
    </row>
    <row r="24">
      <c r="A24" s="4" t="n">
        <v>23</v>
      </c>
      <c r="B24" s="4" t="inlineStr">
        <is>
          <t>MEX-023</t>
        </is>
      </c>
      <c r="C24" s="2" t="inlineStr">
        <is>
          <t>Limpiador multiuso</t>
        </is>
      </c>
      <c r="D24" s="2" t="inlineStr">
        <is>
          <t>Limpieza</t>
        </is>
      </c>
      <c r="E24" s="4" t="inlineStr">
        <is>
          <t>México</t>
        </is>
      </c>
      <c r="F24" s="2" t="n">
        <v>130</v>
      </c>
      <c r="G24" s="7" t="n">
        <v>5.25</v>
      </c>
      <c r="H24" s="7">
        <f>F24*G24</f>
        <v/>
      </c>
      <c r="I24" s="2">
        <f>IF(H24&gt;1000,"Importe Alto","Importe Normal")</f>
        <v/>
      </c>
    </row>
    <row r="25">
      <c r="A25" s="4" t="n">
        <v>24</v>
      </c>
      <c r="B25" s="4" t="inlineStr">
        <is>
          <t>MEX-024</t>
        </is>
      </c>
      <c r="C25" s="2" t="inlineStr">
        <is>
          <t>Cloro doméstico</t>
        </is>
      </c>
      <c r="D25" s="2" t="inlineStr">
        <is>
          <t>Limpieza</t>
        </is>
      </c>
      <c r="E25" s="4" t="inlineStr">
        <is>
          <t>México</t>
        </is>
      </c>
      <c r="F25" s="2" t="n">
        <v>180</v>
      </c>
      <c r="G25" s="7" t="n">
        <v>2.95</v>
      </c>
      <c r="H25" s="7">
        <f>F25*G25</f>
        <v/>
      </c>
      <c r="I25" s="2">
        <f>IF(H25&gt;1000,"Importe Alto","Importe Normal")</f>
        <v/>
      </c>
    </row>
    <row r="26">
      <c r="A26" s="4" t="n">
        <v>25</v>
      </c>
      <c r="B26" s="4" t="inlineStr">
        <is>
          <t>MEX-025</t>
        </is>
      </c>
      <c r="C26" s="2" t="inlineStr">
        <is>
          <t>Suavizante</t>
        </is>
      </c>
      <c r="D26" s="2" t="inlineStr">
        <is>
          <t>Limpieza</t>
        </is>
      </c>
      <c r="E26" s="4" t="inlineStr">
        <is>
          <t>México</t>
        </is>
      </c>
      <c r="F26" s="2" t="n">
        <v>100</v>
      </c>
      <c r="G26" s="7" t="n">
        <v>7.4</v>
      </c>
      <c r="H26" s="7">
        <f>F26*G26</f>
        <v/>
      </c>
      <c r="I26" s="2">
        <f>IF(H26&gt;1000,"Importe Alto","Importe Normal")</f>
        <v/>
      </c>
    </row>
    <row r="27">
      <c r="A27" s="4" t="n">
        <v>26</v>
      </c>
      <c r="B27" s="4" t="inlineStr">
        <is>
          <t>MEX-026</t>
        </is>
      </c>
      <c r="C27" s="2" t="inlineStr">
        <is>
          <t>Papel higiénico</t>
        </is>
      </c>
      <c r="D27" s="2" t="inlineStr">
        <is>
          <t>Hogar</t>
        </is>
      </c>
      <c r="E27" s="4" t="inlineStr">
        <is>
          <t>México</t>
        </is>
      </c>
      <c r="F27" s="2" t="n">
        <v>200</v>
      </c>
      <c r="G27" s="7" t="n">
        <v>6.25</v>
      </c>
      <c r="H27" s="7">
        <f>F27*G27</f>
        <v/>
      </c>
      <c r="I27" s="2">
        <f>IF(H27&gt;1000,"Importe Alto","Importe Normal")</f>
        <v/>
      </c>
    </row>
    <row r="28">
      <c r="A28" s="4" t="n">
        <v>27</v>
      </c>
      <c r="B28" s="4" t="inlineStr">
        <is>
          <t>MEX-027</t>
        </is>
      </c>
      <c r="C28" s="2" t="inlineStr">
        <is>
          <t>Servilletas</t>
        </is>
      </c>
      <c r="D28" s="2" t="inlineStr">
        <is>
          <t>Hogar</t>
        </is>
      </c>
      <c r="E28" s="4" t="inlineStr">
        <is>
          <t>México</t>
        </is>
      </c>
      <c r="F28" s="2" t="n">
        <v>175</v>
      </c>
      <c r="G28" s="7" t="n">
        <v>3.5</v>
      </c>
      <c r="H28" s="7">
        <f>F28*G28</f>
        <v/>
      </c>
      <c r="I28" s="2">
        <f>IF(H28&gt;1000,"Importe Alto","Importe Normal")</f>
        <v/>
      </c>
    </row>
    <row r="29">
      <c r="A29" s="4" t="n">
        <v>28</v>
      </c>
      <c r="B29" s="4" t="inlineStr">
        <is>
          <t>MEX-028</t>
        </is>
      </c>
      <c r="C29" s="2" t="inlineStr">
        <is>
          <t>Bolsas para basura</t>
        </is>
      </c>
      <c r="D29" s="2" t="inlineStr">
        <is>
          <t>Hogar</t>
        </is>
      </c>
      <c r="E29" s="4" t="inlineStr">
        <is>
          <t>México</t>
        </is>
      </c>
      <c r="F29" s="2" t="n">
        <v>120</v>
      </c>
      <c r="G29" s="7" t="n">
        <v>4.6</v>
      </c>
      <c r="H29" s="7">
        <f>F29*G29</f>
        <v/>
      </c>
      <c r="I29" s="2">
        <f>IF(H29&gt;1000,"Importe Alto","Importe Normal")</f>
        <v/>
      </c>
    </row>
    <row r="30">
      <c r="A30" s="4" t="n">
        <v>29</v>
      </c>
      <c r="B30" s="4" t="inlineStr">
        <is>
          <t>MEX-029</t>
        </is>
      </c>
      <c r="C30" s="2" t="inlineStr">
        <is>
          <t>Toallas de cocina</t>
        </is>
      </c>
      <c r="D30" s="2" t="inlineStr">
        <is>
          <t>Hogar</t>
        </is>
      </c>
      <c r="E30" s="4" t="inlineStr">
        <is>
          <t>México</t>
        </is>
      </c>
      <c r="F30" s="2" t="n">
        <v>140</v>
      </c>
      <c r="G30" s="7" t="n">
        <v>5.15</v>
      </c>
      <c r="H30" s="7">
        <f>F30*G30</f>
        <v/>
      </c>
      <c r="I30" s="2">
        <f>IF(H30&gt;1000,"Importe Alto","Importe Normal")</f>
        <v/>
      </c>
    </row>
    <row r="31">
      <c r="A31" s="4" t="n">
        <v>30</v>
      </c>
      <c r="B31" s="4" t="inlineStr">
        <is>
          <t>MEX-030</t>
        </is>
      </c>
      <c r="C31" s="2" t="inlineStr">
        <is>
          <t>Envases plásticos</t>
        </is>
      </c>
      <c r="D31" s="2" t="inlineStr">
        <is>
          <t>Hogar</t>
        </is>
      </c>
      <c r="E31" s="4" t="inlineStr">
        <is>
          <t>México</t>
        </is>
      </c>
      <c r="F31" s="2" t="n">
        <v>160</v>
      </c>
      <c r="G31" s="7" t="n">
        <v>4.75</v>
      </c>
      <c r="H31" s="7">
        <f>F31*G31</f>
        <v/>
      </c>
      <c r="I31" s="2">
        <f>IF(H31&gt;1000,"Importe Alto","Importe Normal")</f>
        <v/>
      </c>
    </row>
    <row r="32">
      <c r="A32" s="4" t="n">
        <v>31</v>
      </c>
      <c r="B32" s="4" t="inlineStr">
        <is>
          <t>MEX-031</t>
        </is>
      </c>
      <c r="C32" s="2" t="inlineStr">
        <is>
          <t>Cuadernos</t>
        </is>
      </c>
      <c r="D32" s="2" t="inlineStr">
        <is>
          <t>Oficina</t>
        </is>
      </c>
      <c r="E32" s="4" t="inlineStr">
        <is>
          <t>México</t>
        </is>
      </c>
      <c r="F32" s="2" t="n">
        <v>250</v>
      </c>
      <c r="G32" s="7" t="n">
        <v>2.75</v>
      </c>
      <c r="H32" s="7">
        <f>F32*G32</f>
        <v/>
      </c>
      <c r="I32" s="2">
        <f>IF(H32&gt;1000,"Importe Alto","Importe Normal")</f>
        <v/>
      </c>
    </row>
    <row r="33">
      <c r="A33" s="4" t="n">
        <v>32</v>
      </c>
      <c r="B33" s="4" t="inlineStr">
        <is>
          <t>MEX-032</t>
        </is>
      </c>
      <c r="C33" s="2" t="inlineStr">
        <is>
          <t>Carpetas</t>
        </is>
      </c>
      <c r="D33" s="2" t="inlineStr">
        <is>
          <t>Oficina</t>
        </is>
      </c>
      <c r="E33" s="4" t="inlineStr">
        <is>
          <t>México</t>
        </is>
      </c>
      <c r="F33" s="2" t="n">
        <v>180</v>
      </c>
      <c r="G33" s="7" t="n">
        <v>3.2</v>
      </c>
      <c r="H33" s="7">
        <f>F33*G33</f>
        <v/>
      </c>
      <c r="I33" s="2">
        <f>IF(H33&gt;1000,"Importe Alto","Importe Normal")</f>
        <v/>
      </c>
    </row>
    <row r="34">
      <c r="A34" s="4" t="n">
        <v>33</v>
      </c>
      <c r="B34" s="4" t="inlineStr">
        <is>
          <t>MEX-033</t>
        </is>
      </c>
      <c r="C34" s="2" t="inlineStr">
        <is>
          <t>Bolígrafos</t>
        </is>
      </c>
      <c r="D34" s="2" t="inlineStr">
        <is>
          <t>Oficina</t>
        </is>
      </c>
      <c r="E34" s="4" t="inlineStr">
        <is>
          <t>México</t>
        </is>
      </c>
      <c r="F34" s="2" t="n">
        <v>300</v>
      </c>
      <c r="G34" s="7" t="n">
        <v>1.5</v>
      </c>
      <c r="H34" s="7">
        <f>F34*G34</f>
        <v/>
      </c>
      <c r="I34" s="2">
        <f>IF(H34&gt;1000,"Importe Alto","Importe Normal")</f>
        <v/>
      </c>
    </row>
    <row r="35">
      <c r="A35" s="4" t="n">
        <v>34</v>
      </c>
      <c r="B35" s="4" t="inlineStr">
        <is>
          <t>MEX-034</t>
        </is>
      </c>
      <c r="C35" s="2" t="inlineStr">
        <is>
          <t>Marcadores</t>
        </is>
      </c>
      <c r="D35" s="2" t="inlineStr">
        <is>
          <t>Oficina</t>
        </is>
      </c>
      <c r="E35" s="4" t="inlineStr">
        <is>
          <t>México</t>
        </is>
      </c>
      <c r="F35" s="2" t="n">
        <v>150</v>
      </c>
      <c r="G35" s="7" t="n">
        <v>2.9</v>
      </c>
      <c r="H35" s="7">
        <f>F35*G35</f>
        <v/>
      </c>
      <c r="I35" s="2">
        <f>IF(H35&gt;1000,"Importe Alto","Importe Normal")</f>
        <v/>
      </c>
    </row>
    <row r="36">
      <c r="A36" s="4" t="n">
        <v>35</v>
      </c>
      <c r="B36" s="4" t="inlineStr">
        <is>
          <t>MEX-035</t>
        </is>
      </c>
      <c r="C36" s="2" t="inlineStr">
        <is>
          <t>Papel bond</t>
        </is>
      </c>
      <c r="D36" s="2" t="inlineStr">
        <is>
          <t>Oficina</t>
        </is>
      </c>
      <c r="E36" s="4" t="inlineStr">
        <is>
          <t>México</t>
        </is>
      </c>
      <c r="F36" s="2" t="n">
        <v>100</v>
      </c>
      <c r="G36" s="7" t="n">
        <v>7.8</v>
      </c>
      <c r="H36" s="7">
        <f>F36*G36</f>
        <v/>
      </c>
      <c r="I36" s="2">
        <f>IF(H36&gt;1000,"Importe Alto","Importe Normal")</f>
        <v/>
      </c>
    </row>
    <row r="37">
      <c r="A37" s="4" t="n">
        <v>36</v>
      </c>
      <c r="B37" s="4" t="inlineStr">
        <is>
          <t>MEX-036</t>
        </is>
      </c>
      <c r="C37" s="2" t="inlineStr">
        <is>
          <t>Calculadoras</t>
        </is>
      </c>
      <c r="D37" s="2" t="inlineStr">
        <is>
          <t>Oficina</t>
        </is>
      </c>
      <c r="E37" s="4" t="inlineStr">
        <is>
          <t>México</t>
        </is>
      </c>
      <c r="F37" s="2" t="n">
        <v>70</v>
      </c>
      <c r="G37" s="7" t="n">
        <v>12.5</v>
      </c>
      <c r="H37" s="7">
        <f>F37*G37</f>
        <v/>
      </c>
      <c r="I37" s="2">
        <f>IF(H37&gt;1000,"Importe Alto","Importe Normal")</f>
        <v/>
      </c>
    </row>
    <row r="38">
      <c r="A38" s="4" t="n">
        <v>37</v>
      </c>
      <c r="B38" s="4" t="inlineStr">
        <is>
          <t>MEX-037</t>
        </is>
      </c>
      <c r="C38" s="2" t="inlineStr">
        <is>
          <t>Memorias USB</t>
        </is>
      </c>
      <c r="D38" s="2" t="inlineStr">
        <is>
          <t>Tecnología</t>
        </is>
      </c>
      <c r="E38" s="4" t="inlineStr">
        <is>
          <t>México</t>
        </is>
      </c>
      <c r="F38" s="2" t="n">
        <v>80</v>
      </c>
      <c r="G38" s="7" t="n">
        <v>11.75</v>
      </c>
      <c r="H38" s="7">
        <f>F38*G38</f>
        <v/>
      </c>
      <c r="I38" s="2">
        <f>IF(H38&gt;1000,"Importe Alto","Importe Normal")</f>
        <v/>
      </c>
    </row>
    <row r="39">
      <c r="A39" s="4" t="n">
        <v>38</v>
      </c>
      <c r="B39" s="4" t="inlineStr">
        <is>
          <t>MEX-038</t>
        </is>
      </c>
      <c r="C39" s="2" t="inlineStr">
        <is>
          <t>Teclados USB</t>
        </is>
      </c>
      <c r="D39" s="2" t="inlineStr">
        <is>
          <t>Tecnología</t>
        </is>
      </c>
      <c r="E39" s="4" t="inlineStr">
        <is>
          <t>México</t>
        </is>
      </c>
      <c r="F39" s="2" t="n">
        <v>60</v>
      </c>
      <c r="G39" s="7" t="n">
        <v>15.5</v>
      </c>
      <c r="H39" s="7">
        <f>F39*G39</f>
        <v/>
      </c>
      <c r="I39" s="2">
        <f>IF(H39&gt;1000,"Importe Alto","Importe Normal")</f>
        <v/>
      </c>
    </row>
    <row r="40">
      <c r="A40" s="4" t="n">
        <v>39</v>
      </c>
      <c r="B40" s="4" t="inlineStr">
        <is>
          <t>MEX-039</t>
        </is>
      </c>
      <c r="C40" s="2" t="inlineStr">
        <is>
          <t>Mouse inalámbrico</t>
        </is>
      </c>
      <c r="D40" s="2" t="inlineStr">
        <is>
          <t>Tecnología</t>
        </is>
      </c>
      <c r="E40" s="4" t="inlineStr">
        <is>
          <t>México</t>
        </is>
      </c>
      <c r="F40" s="2" t="n">
        <v>75</v>
      </c>
      <c r="G40" s="7" t="n">
        <v>13.25</v>
      </c>
      <c r="H40" s="7">
        <f>F40*G40</f>
        <v/>
      </c>
      <c r="I40" s="2">
        <f>IF(H40&gt;1000,"Importe Alto","Importe Normal")</f>
        <v/>
      </c>
    </row>
    <row r="41">
      <c r="A41" s="4" t="n">
        <v>40</v>
      </c>
      <c r="B41" s="4" t="inlineStr">
        <is>
          <t>MEX-040</t>
        </is>
      </c>
      <c r="C41" s="2" t="inlineStr">
        <is>
          <t>Audífonos</t>
        </is>
      </c>
      <c r="D41" s="2" t="inlineStr">
        <is>
          <t>Tecnología</t>
        </is>
      </c>
      <c r="E41" s="4" t="inlineStr">
        <is>
          <t>México</t>
        </is>
      </c>
      <c r="F41" s="2" t="n">
        <v>90</v>
      </c>
      <c r="G41" s="7" t="n">
        <v>18.5</v>
      </c>
      <c r="H41" s="7">
        <f>F41*G41</f>
        <v/>
      </c>
      <c r="I41" s="2">
        <f>IF(H41&gt;1000,"Importe Alto","Importe Normal")</f>
        <v/>
      </c>
    </row>
    <row r="42">
      <c r="A42" s="4" t="n">
        <v>41</v>
      </c>
      <c r="B42" s="4" t="inlineStr">
        <is>
          <t>MEX-041</t>
        </is>
      </c>
      <c r="C42" s="2" t="inlineStr">
        <is>
          <t>Cargadores USB</t>
        </is>
      </c>
      <c r="D42" s="2" t="inlineStr">
        <is>
          <t>Tecnología</t>
        </is>
      </c>
      <c r="E42" s="4" t="inlineStr">
        <is>
          <t>México</t>
        </is>
      </c>
      <c r="F42" s="2" t="n">
        <v>100</v>
      </c>
      <c r="G42" s="7" t="n">
        <v>9.75</v>
      </c>
      <c r="H42" s="7">
        <f>F42*G42</f>
        <v/>
      </c>
      <c r="I42" s="2">
        <f>IF(H42&gt;1000,"Importe Alto","Importe Normal")</f>
        <v/>
      </c>
    </row>
    <row r="43">
      <c r="A43" s="4" t="n">
        <v>42</v>
      </c>
      <c r="B43" s="4" t="inlineStr">
        <is>
          <t>MEX-042</t>
        </is>
      </c>
      <c r="C43" s="2" t="inlineStr">
        <is>
          <t>Cables HDMI</t>
        </is>
      </c>
      <c r="D43" s="2" t="inlineStr">
        <is>
          <t>Tecnología</t>
        </is>
      </c>
      <c r="E43" s="4" t="inlineStr">
        <is>
          <t>México</t>
        </is>
      </c>
      <c r="F43" s="2" t="n">
        <v>120</v>
      </c>
      <c r="G43" s="7" t="n">
        <v>7.5</v>
      </c>
      <c r="H43" s="7">
        <f>F43*G43</f>
        <v/>
      </c>
      <c r="I43" s="2">
        <f>IF(H43&gt;1000,"Importe Alto","Importe Normal")</f>
        <v/>
      </c>
    </row>
    <row r="44">
      <c r="A44" s="4" t="n">
        <v>43</v>
      </c>
      <c r="B44" s="4" t="inlineStr">
        <is>
          <t>MEX-043</t>
        </is>
      </c>
      <c r="C44" s="2" t="inlineStr">
        <is>
          <t>Mochilas</t>
        </is>
      </c>
      <c r="D44" s="2" t="inlineStr">
        <is>
          <t>Accesorios</t>
        </is>
      </c>
      <c r="E44" s="4" t="inlineStr">
        <is>
          <t>México</t>
        </is>
      </c>
      <c r="F44" s="2" t="n">
        <v>85</v>
      </c>
      <c r="G44" s="7" t="n">
        <v>22.5</v>
      </c>
      <c r="H44" s="7">
        <f>F44*G44</f>
        <v/>
      </c>
      <c r="I44" s="2">
        <f>IF(H44&gt;1000,"Importe Alto","Importe Normal")</f>
        <v/>
      </c>
    </row>
    <row r="45">
      <c r="A45" s="4" t="n">
        <v>44</v>
      </c>
      <c r="B45" s="4" t="inlineStr">
        <is>
          <t>MEX-044</t>
        </is>
      </c>
      <c r="C45" s="2" t="inlineStr">
        <is>
          <t>Bolsos deportivos</t>
        </is>
      </c>
      <c r="D45" s="2" t="inlineStr">
        <is>
          <t>Accesorios</t>
        </is>
      </c>
      <c r="E45" s="4" t="inlineStr">
        <is>
          <t>México</t>
        </is>
      </c>
      <c r="F45" s="2" t="n">
        <v>60</v>
      </c>
      <c r="G45" s="7" t="n">
        <v>28</v>
      </c>
      <c r="H45" s="7">
        <f>F45*G45</f>
        <v/>
      </c>
      <c r="I45" s="2">
        <f>IF(H45&gt;1000,"Importe Alto","Importe Normal")</f>
        <v/>
      </c>
    </row>
    <row r="46">
      <c r="A46" s="4" t="n">
        <v>45</v>
      </c>
      <c r="B46" s="4" t="inlineStr">
        <is>
          <t>MEX-045</t>
        </is>
      </c>
      <c r="C46" s="2" t="inlineStr">
        <is>
          <t>Gorras</t>
        </is>
      </c>
      <c r="D46" s="2" t="inlineStr">
        <is>
          <t>Accesorios</t>
        </is>
      </c>
      <c r="E46" s="4" t="inlineStr">
        <is>
          <t>Guatemala</t>
        </is>
      </c>
      <c r="F46" s="2" t="n">
        <v>120</v>
      </c>
      <c r="G46" s="7" t="n">
        <v>8.75</v>
      </c>
      <c r="H46" s="7">
        <f>F46*G46</f>
        <v/>
      </c>
      <c r="I46" s="2">
        <f>IF(H46&gt;1000,"Importe Alto","Importe Normal")</f>
        <v/>
      </c>
    </row>
    <row r="47">
      <c r="A47" s="4" t="n">
        <v>46</v>
      </c>
      <c r="B47" s="4" t="inlineStr">
        <is>
          <t>MEX-046</t>
        </is>
      </c>
      <c r="C47" s="2" t="inlineStr">
        <is>
          <t>Paraguas</t>
        </is>
      </c>
      <c r="D47" s="2" t="inlineStr">
        <is>
          <t>Accesorios</t>
        </is>
      </c>
      <c r="E47" s="4" t="inlineStr">
        <is>
          <t>Costa Rica</t>
        </is>
      </c>
      <c r="F47" s="2" t="n">
        <v>90</v>
      </c>
      <c r="G47" s="7" t="n">
        <v>12.8</v>
      </c>
      <c r="H47" s="7">
        <f>F47*G47</f>
        <v/>
      </c>
      <c r="I47" s="2">
        <f>IF(H47&gt;1000,"Importe Alto","Importe Normal")</f>
        <v/>
      </c>
    </row>
    <row r="48">
      <c r="A48" s="4" t="n">
        <v>47</v>
      </c>
      <c r="B48" s="4" t="inlineStr">
        <is>
          <t>MEX-047</t>
        </is>
      </c>
      <c r="C48" s="2" t="inlineStr">
        <is>
          <t>Lentes de sol</t>
        </is>
      </c>
      <c r="D48" s="2" t="inlineStr">
        <is>
          <t>Accesorios</t>
        </is>
      </c>
      <c r="E48" s="4" t="inlineStr">
        <is>
          <t>El Salvador</t>
        </is>
      </c>
      <c r="F48" s="2" t="n">
        <v>75</v>
      </c>
      <c r="G48" s="7" t="n">
        <v>16.5</v>
      </c>
      <c r="H48" s="7">
        <f>F48*G48</f>
        <v/>
      </c>
      <c r="I48" s="2">
        <f>IF(H48&gt;1000,"Importe Alto","Importe Normal")</f>
        <v/>
      </c>
    </row>
    <row r="49">
      <c r="A49" s="4" t="n">
        <v>48</v>
      </c>
      <c r="B49" s="4" t="inlineStr">
        <is>
          <t>MEX-048</t>
        </is>
      </c>
      <c r="C49" s="2" t="inlineStr">
        <is>
          <t>Botellas reutilizables</t>
        </is>
      </c>
      <c r="D49" s="2" t="inlineStr">
        <is>
          <t>Accesorios</t>
        </is>
      </c>
      <c r="E49" s="4" t="inlineStr">
        <is>
          <t>México</t>
        </is>
      </c>
      <c r="F49" s="2" t="n">
        <v>110</v>
      </c>
      <c r="G49" s="7" t="n">
        <v>9.25</v>
      </c>
      <c r="H49" s="7">
        <f>F49*G49</f>
        <v/>
      </c>
      <c r="I49" s="2">
        <f>IF(H49&gt;1000,"Importe Alto","Importe Normal")</f>
        <v/>
      </c>
    </row>
    <row r="50">
      <c r="A50" s="4" t="n">
        <v>49</v>
      </c>
      <c r="B50" s="4" t="inlineStr">
        <is>
          <t>MEX-049</t>
        </is>
      </c>
      <c r="C50" s="2" t="inlineStr">
        <is>
          <t>Termos</t>
        </is>
      </c>
      <c r="D50" s="2" t="inlineStr">
        <is>
          <t>Accesorios</t>
        </is>
      </c>
      <c r="E50" s="4" t="inlineStr">
        <is>
          <t>México</t>
        </is>
      </c>
      <c r="F50" s="2" t="n">
        <v>65</v>
      </c>
      <c r="G50" s="7" t="n">
        <v>24.5</v>
      </c>
      <c r="H50" s="7">
        <f>F50*G50</f>
        <v/>
      </c>
      <c r="I50" s="2">
        <f>IF(H50&gt;1000,"Importe Alto","Importe Normal")</f>
        <v/>
      </c>
    </row>
    <row r="51">
      <c r="A51" s="4" t="n">
        <v>50</v>
      </c>
      <c r="B51" s="4" t="inlineStr">
        <is>
          <t>MEX-050</t>
        </is>
      </c>
      <c r="C51" s="2" t="inlineStr">
        <is>
          <t>Organizadores</t>
        </is>
      </c>
      <c r="D51" s="2" t="inlineStr">
        <is>
          <t>Hogar</t>
        </is>
      </c>
      <c r="E51" s="4" t="inlineStr">
        <is>
          <t>México</t>
        </is>
      </c>
      <c r="F51" s="2" t="n">
        <v>100</v>
      </c>
      <c r="G51" s="7" t="n">
        <v>10.5</v>
      </c>
      <c r="H51" s="7">
        <f>F51*G51</f>
        <v/>
      </c>
      <c r="I51" s="2">
        <f>IF(H51&gt;1000,"Importe Alto","Importe Normal")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s="8" t="inlineStr">
        <is>
          <t>NICATRADE INTERNATIONAL</t>
        </is>
      </c>
    </row>
    <row r="2">
      <c r="A2" s="9" t="inlineStr">
        <is>
          <t>Resultados – Importación México → Nicaragua</t>
        </is>
      </c>
    </row>
    <row r="3"/>
    <row r="4">
      <c r="A4" s="10" t="inlineStr">
        <is>
          <t>1. ¿Cuál es el importe total de la operación?</t>
        </is>
      </c>
      <c r="B4" s="11" t="inlineStr">
        <is>
          <t>US$40,359.00</t>
        </is>
      </c>
    </row>
    <row r="5">
      <c r="A5" s="10" t="inlineStr">
        <is>
          <t>2. ¿Cuál es el producto con mayor importe?</t>
        </is>
      </c>
      <c r="B5" s="11" t="inlineStr">
        <is>
          <t>Mochilas (MEX-043) — US$1,912.50</t>
        </is>
      </c>
    </row>
    <row r="6">
      <c r="A6" s="10" t="inlineStr">
        <is>
          <t>3. ¿Cuál es el precio promedio?</t>
        </is>
      </c>
      <c r="B6" s="11" t="inlineStr">
        <is>
          <t>US$7.74</t>
        </is>
      </c>
    </row>
    <row r="7">
      <c r="A7" s="10" t="inlineStr">
        <is>
          <t>4. ¿Cuántos productos están registrados?</t>
        </is>
      </c>
      <c r="B7" s="11" t="inlineStr">
        <is>
          <t>50 productos</t>
        </is>
      </c>
    </row>
    <row r="8">
      <c r="A8" s="10" t="inlineStr">
        <is>
          <t>5. ¿Por qué es importante analizar esta información?</t>
        </is>
      </c>
      <c r="B8" s="11" t="inlineStr">
        <is>
          <t>Porque permite conocer el costo de la operación, identificar productos de mayor impacto, comparar precios y cantidades, detectar importes altos y apoyar decisiones comerciales antes de realizar una operación internacional.</t>
        </is>
      </c>
    </row>
    <row r="9">
      <c r="A9" s="10" t="inlineStr">
        <is>
          <t>Importe correspondiente a productos de México</t>
        </is>
      </c>
      <c r="B9" s="11" t="inlineStr">
        <is>
          <t>US$36,919.50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2026-09-15T18:58:39Z</dcterms:created>
  <dcterms:modified xmlns:dcterms="http://purl.org/dc/terms/" xmlns:xsi="http://www.w3.org/2001/XMLSchema-instance" xsi:type="dcterms:W3CDTF">2026-09-26T01:20:32Z</dcterms:modified>
  <cp:lastModifiedBy>Cèsar Marìn</cp:lastModifiedBy>
</cp:coreProperties>
</file>